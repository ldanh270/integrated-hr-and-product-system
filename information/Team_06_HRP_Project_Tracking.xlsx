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ucan\Desktop\SWP\"/>
    </mc:Choice>
  </mc:AlternateContent>
  <xr:revisionPtr revIDLastSave="0" documentId="13_ncr:1_{44ABB922-C3E1-4CBC-A57D-D7269AC0D9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N14" i="1" s="1"/>
  <c r="L14" i="1"/>
  <c r="K14" i="1"/>
  <c r="M13" i="1"/>
  <c r="N13" i="1" s="1"/>
  <c r="L13" i="1"/>
  <c r="K13" i="1"/>
  <c r="M12" i="1"/>
  <c r="N12" i="1" s="1"/>
  <c r="L12" i="1"/>
  <c r="K12" i="1"/>
  <c r="M11" i="1"/>
  <c r="N11" i="1" s="1"/>
  <c r="L11" i="1"/>
  <c r="K11" i="1"/>
  <c r="M10" i="1"/>
  <c r="N10" i="1" s="1"/>
  <c r="L10" i="1"/>
  <c r="K10" i="1"/>
  <c r="M9" i="1"/>
  <c r="N9" i="1" s="1"/>
  <c r="L9" i="1"/>
  <c r="K9" i="1"/>
  <c r="H9" i="1"/>
  <c r="N8" i="1"/>
  <c r="M8" i="1"/>
  <c r="L8" i="1"/>
  <c r="K8" i="1"/>
  <c r="H8" i="1"/>
  <c r="M7" i="1"/>
  <c r="N7" i="1" s="1"/>
  <c r="L7" i="1"/>
  <c r="K7" i="1"/>
  <c r="H7" i="1"/>
  <c r="M6" i="1"/>
  <c r="N6" i="1" s="1"/>
  <c r="L6" i="1"/>
  <c r="K6" i="1"/>
  <c r="H6" i="1"/>
  <c r="M5" i="1"/>
  <c r="N5" i="1" s="1"/>
  <c r="L5" i="1"/>
  <c r="K5" i="1"/>
  <c r="H5" i="1"/>
</calcChain>
</file>

<file path=xl/sharedStrings.xml><?xml version="1.0" encoding="utf-8"?>
<sst xmlns="http://schemas.openxmlformats.org/spreadsheetml/2006/main" count="1290" uniqueCount="308">
  <si>
    <t>PROJECT PLAN</t>
  </si>
  <si>
    <t>CONTRIBUTION REPORT</t>
  </si>
  <si>
    <t>KPI REPORT</t>
  </si>
  <si>
    <t>TIÊU ĐỀ DỰ ÁN</t>
  </si>
  <si>
    <t>HRP - Integrated HR and Product System</t>
  </si>
  <si>
    <t>Member</t>
  </si>
  <si>
    <t>Contribution %</t>
  </si>
  <si>
    <t>Sprint</t>
  </si>
  <si>
    <t>Total Tasks</t>
  </si>
  <si>
    <t>Total Estimate</t>
  </si>
  <si>
    <t>Done Estimate</t>
  </si>
  <si>
    <t>% Completion</t>
  </si>
  <si>
    <t>Lê Đức Anh</t>
  </si>
  <si>
    <t>THÀNH VIÊN</t>
  </si>
  <si>
    <t>Lê Đức Anh - DE190254 (Leader)</t>
  </si>
  <si>
    <t>Tạ Thị Bích Loan</t>
  </si>
  <si>
    <t>Tạ Thị Bích Loan - DE190707</t>
  </si>
  <si>
    <t>Đỗ Xuân Thắng</t>
  </si>
  <si>
    <t>Đỗ Xuân Thắng - DE190405</t>
  </si>
  <si>
    <t>Nguyễn Ánh Tuyết</t>
  </si>
  <si>
    <t>Nguyễn Ánh Tuyết - DE201074</t>
  </si>
  <si>
    <t>Trần Phước Đoàn Nhật</t>
  </si>
  <si>
    <t>Trần Phước Đoàn Nhật - DE190483</t>
  </si>
  <si>
    <t>INFORMATION</t>
  </si>
  <si>
    <t>WEBSITE</t>
  </si>
  <si>
    <t>https://integrated-hr-and-product-system.vercel.app/</t>
  </si>
  <si>
    <t>FRONTEND REPOSITORY</t>
  </si>
  <si>
    <t>https://github.com/ldanh270/integrated-hr-and-product-system/tree/main/frontend</t>
  </si>
  <si>
    <t>BACKEND REPOSITORY</t>
  </si>
  <si>
    <t>https://github.com/ldanh270/integrated-hr-and-product-system/tree/main/backend</t>
  </si>
  <si>
    <t>AI REPOSITORY</t>
  </si>
  <si>
    <t>Integrated in backend repository. AI features include task estimation / capacity copilot services.</t>
  </si>
  <si>
    <t>DATABASE</t>
  </si>
  <si>
    <t>PostgreSQL database managed through Prisma ORM. The database stores employee, attendance, shift, payroll, project, task, role and authentication data.</t>
  </si>
  <si>
    <t>API DESCRIPTION</t>
  </si>
  <si>
    <t>RESTful APIs for authentication, employee, attendance, shift, payroll, project, and task management, using JSON, JWT authentication, and role-based authorization.</t>
  </si>
  <si>
    <t>REPORTS</t>
  </si>
  <si>
    <t>STT</t>
  </si>
  <si>
    <t>Module</t>
  </si>
  <si>
    <t>Task</t>
  </si>
  <si>
    <t>Phase</t>
  </si>
  <si>
    <t>PIC</t>
  </si>
  <si>
    <t>Status</t>
  </si>
  <si>
    <t>Plan Start</t>
  </si>
  <si>
    <t>Plan End</t>
  </si>
  <si>
    <t>Effort</t>
  </si>
  <si>
    <t>Actual Start</t>
  </si>
  <si>
    <t>Actual End</t>
  </si>
  <si>
    <t>Note</t>
  </si>
  <si>
    <t>Design System</t>
  </si>
  <si>
    <t>Thiết kế Usecase Diagram</t>
  </si>
  <si>
    <t>Design</t>
  </si>
  <si>
    <t>DONE</t>
  </si>
  <si>
    <t>Làm báo cáo RDS</t>
  </si>
  <si>
    <t>Report</t>
  </si>
  <si>
    <t>Làm progress report</t>
  </si>
  <si>
    <t>Làm slide Present 1</t>
  </si>
  <si>
    <t>Tìm hiểu đề tài tương tự</t>
  </si>
  <si>
    <t>Vẽ Entity Diagram</t>
  </si>
  <si>
    <t>Fix Entity Diagram</t>
  </si>
  <si>
    <t>Tìm kiếm tài liệu tham khảo</t>
  </si>
  <si>
    <t>Vẽ Flow Diagram</t>
  </si>
  <si>
    <t>Recuitment Management</t>
  </si>
  <si>
    <t>Flow Offer Accepted → Tạo Employee</t>
  </si>
  <si>
    <t>Development</t>
  </si>
  <si>
    <t>Flow Offer Accepted → Tạo Employee Contract</t>
  </si>
  <si>
    <t>Authentication</t>
  </si>
  <si>
    <t>Login</t>
  </si>
  <si>
    <t>Logout</t>
  </si>
  <si>
    <t>Authentication Middleware</t>
  </si>
  <si>
    <t>Authorization Middleware</t>
  </si>
  <si>
    <t>Employee Management</t>
  </si>
  <si>
    <t>Admin tạo employee mới</t>
  </si>
  <si>
    <t>Xem tất cả employees</t>
  </si>
  <si>
    <t>Deactive employee</t>
  </si>
  <si>
    <t>Forgot password</t>
  </si>
  <si>
    <t>Reset password</t>
  </si>
  <si>
    <t>Đổi ảnh đại diện</t>
  </si>
  <si>
    <t>Xem profile</t>
  </si>
  <si>
    <t>Edit profile</t>
  </si>
  <si>
    <t>Hoàn thiện Database Schema cho Bảo hiểm nhân sự</t>
  </si>
  <si>
    <t>API CRUD hồ sơ bảo hiểm nhân sự</t>
  </si>
  <si>
    <t>UI Form thêm/sửa/xem hồ sơ bảo hiểm</t>
  </si>
  <si>
    <t>API Export báo cáo bảo hiểm</t>
  </si>
  <si>
    <t>UI lọc, tìm kiếm và xuất danh sách bảo hiểm</t>
  </si>
  <si>
    <t>UI Onboarding nhân viên sau tuyển dụng</t>
  </si>
  <si>
    <t>Application</t>
  </si>
  <si>
    <t>Quản lý Leave Balance theo năm</t>
  </si>
  <si>
    <t>Vẽ Sequence Diagram</t>
  </si>
  <si>
    <t>Vẽ Class Diagram</t>
  </si>
  <si>
    <t>Kết nối db với backend</t>
  </si>
  <si>
    <t>Liệt kê các task</t>
  </si>
  <si>
    <t>Payroll Management</t>
  </si>
  <si>
    <t>Đặc tả chi tiết các Use Case phần Payroll</t>
  </si>
  <si>
    <t>Thiết kế Database Schema cho Payroll</t>
  </si>
  <si>
    <t>Thiết kế giao diện (UI/UX) màn hình Quản lý lương</t>
  </si>
  <si>
    <t>API: Create Salary Component</t>
  </si>
  <si>
    <t>API: Modify Salary Component</t>
  </si>
  <si>
    <t>API: Delete Salary Component</t>
  </si>
  <si>
    <t>UI: Màn hình danh sách &amp; Form cấu phần lương</t>
  </si>
  <si>
    <t>API: Create Payroll Template</t>
  </si>
  <si>
    <t>API: Modify Payroll Template</t>
  </si>
  <si>
    <t>API: Delete Payroll Template</t>
  </si>
  <si>
    <t>UI: Giao diện thiết lập &amp; Quản lý mẫu bảng lương</t>
  </si>
  <si>
    <t>Xử lý Logic: Auto Generate Payroll (Trigger)</t>
  </si>
  <si>
    <t>API: Modify Trigger Generate Payroll</t>
  </si>
  <si>
    <t>API: Approve/Reject Payroll</t>
  </si>
  <si>
    <t>UI: Màn hình theo dõi, kích hoạt và phê duyệt bảng lương</t>
  </si>
  <si>
    <t>API: View Payslip (Cá nhân &amp; Toàn hệ thống)</t>
  </si>
  <si>
    <t>API: View/Export Payroll Report</t>
  </si>
  <si>
    <t>UI: Màn hình Xem phiếu lương cá nhân (Employee)</t>
  </si>
  <si>
    <t>UI: Giao diện Dashboard &amp; Xuất báo cáo lương (HR)</t>
  </si>
  <si>
    <t>Đặc tả chi tiết các Use Case phần Authorization &amp; Security</t>
  </si>
  <si>
    <t>Thiết kế giao diện (UI/UX) màn hình Authorization &amp; Security</t>
  </si>
  <si>
    <t>Thiết kế Database Schema cho Authorization &amp; Security</t>
  </si>
  <si>
    <t>API/UI Candidate Detail</t>
  </si>
  <si>
    <t>Authorization &amp; Security</t>
  </si>
  <si>
    <t>Mở lại kỳ lương có audit log</t>
  </si>
  <si>
    <t>Gửi thông báo Payslip cho nhân viên</t>
  </si>
  <si>
    <t>Flow cấp phép, carry-over và trừ/hoàn phép</t>
  </si>
  <si>
    <t>Attendance Management</t>
  </si>
  <si>
    <t>Cấu hình geofence/bán kính chấm công</t>
  </si>
  <si>
    <t>Xuất báo cáo chấm công Excel có định dạng</t>
  </si>
  <si>
    <t>API: Get Login Activity</t>
  </si>
  <si>
    <t>API: Get Login Activity Detail</t>
  </si>
  <si>
    <t>API: Detect Suspicious Activity</t>
  </si>
  <si>
    <t>API: Get Security Alerts</t>
  </si>
  <si>
    <t>API: Assign Role</t>
  </si>
  <si>
    <t>API: Get User Roles</t>
  </si>
  <si>
    <t>Task Management</t>
  </si>
  <si>
    <t>Create Task</t>
  </si>
  <si>
    <t>API: Send Password Reset Notification</t>
  </si>
  <si>
    <t>UI: Màn hình Login Activity</t>
  </si>
  <si>
    <t>UI: Màn hình Security Alerts</t>
  </si>
  <si>
    <t>UI: Màn hình Assign Role</t>
  </si>
  <si>
    <t>UI: Màn hình Revoke Role</t>
  </si>
  <si>
    <t>Modify Task</t>
  </si>
  <si>
    <t>Delete Task</t>
  </si>
  <si>
    <t>View Project Tasks</t>
  </si>
  <si>
    <t>Project Management</t>
  </si>
  <si>
    <t>Create Project</t>
  </si>
  <si>
    <t>Modify Project</t>
  </si>
  <si>
    <t>Remove Member From Project</t>
  </si>
  <si>
    <t>View Project Details</t>
  </si>
  <si>
    <t>UI: Màn hình View Project Tasks</t>
  </si>
  <si>
    <t>UI: Màn hình Create Task</t>
  </si>
  <si>
    <t>Add Member To Project</t>
  </si>
  <si>
    <t>Hoàn thiện CRUD Employee Contract</t>
  </si>
  <si>
    <t>Cảnh báo hợp đồng sắp hết hạn</t>
  </si>
  <si>
    <t>API Export Payroll Report Excel/CSV/PDF</t>
  </si>
  <si>
    <t>UI Dashboard báo cáo Payroll</t>
  </si>
  <si>
    <t>Chốt kỳ lương và khóa chỉnh sửa sau duyệt</t>
  </si>
  <si>
    <t>Xác nhận nhân viên đã xem Payslip</t>
  </si>
  <si>
    <t>Dashboard KPI dự án: tiến độ, workload, overdue, spent time</t>
  </si>
  <si>
    <t>Đặc tả Use Case module Recruitment</t>
  </si>
  <si>
    <t>UI: Màn hình Modify Task</t>
  </si>
  <si>
    <t>UI: Màn hình Delete Task</t>
  </si>
  <si>
    <t>UI: Màn hình Create Project</t>
  </si>
  <si>
    <t>UI: Màn hình View Project Details</t>
  </si>
  <si>
    <t>UI: Màn hình Modify Project</t>
  </si>
  <si>
    <t>Màn hình Add Member To Project</t>
  </si>
  <si>
    <t>UI: Màn hình Remove Member From Project</t>
  </si>
  <si>
    <t>Working Shift</t>
  </si>
  <si>
    <t>Create Working Shift</t>
  </si>
  <si>
    <t>Modify Working Shift</t>
  </si>
  <si>
    <t>View Working Shift</t>
  </si>
  <si>
    <t>Shift Change Request</t>
  </si>
  <si>
    <t>Approve/Reject Shift Change Request</t>
  </si>
  <si>
    <t>UI - Create &amp; Modify Shift Form</t>
  </si>
  <si>
    <t>UI - View Working Shift Page</t>
  </si>
  <si>
    <t>UI - Shift Change Request Form</t>
  </si>
  <si>
    <t>UI - Approve/Reject Request Panel</t>
  </si>
  <si>
    <t>Unit Test - Create/Modify Shift</t>
  </si>
  <si>
    <t>Testing</t>
  </si>
  <si>
    <t>Test - Shift Change Request Flow</t>
  </si>
  <si>
    <t>Fingerprint Check-in/Check-out</t>
  </si>
  <si>
    <t xml:space="preserve"> Auto-calculate Work Hours</t>
  </si>
  <si>
    <t>Handle Late/Early/Absent</t>
  </si>
  <si>
    <t>View Attendance History</t>
  </si>
  <si>
    <t>View All Attendance History</t>
  </si>
  <si>
    <t xml:space="preserve"> UI - Attendance History Page</t>
  </si>
  <si>
    <t>UI gia hạn/chấm dứt hợp đồng lao động</t>
  </si>
  <si>
    <t>Xác thực GPS/QR chống chấm công hộ</t>
  </si>
  <si>
    <t>Đặc tả Use Case module Employee Contract và Insurance</t>
  </si>
  <si>
    <t xml:space="preserve">Export Attendance Report
</t>
  </si>
  <si>
    <t>Migrate db sang postgresql</t>
  </si>
  <si>
    <t>Design Application Schema</t>
  </si>
  <si>
    <t>Create Application API</t>
  </si>
  <si>
    <t>Cập nhật Configuration &amp; Types</t>
  </si>
  <si>
    <t>Định nghĩa lại các Interface/DTO trong src/types/</t>
  </si>
  <si>
    <t>Xây dựng Schema Validation (Zod)</t>
  </si>
  <si>
    <t>Refactor Repository Layer</t>
  </si>
  <si>
    <t xml:space="preserve">Cập nhật Service &amp; Controller
</t>
  </si>
  <si>
    <t>Cấu trúc hóa Types &amp; Constants</t>
  </si>
  <si>
    <t>Xây dựng Component Form Tạo Đơn Dynamic</t>
  </si>
  <si>
    <t>Kết nối API &amp; Xử lý trạng thái</t>
  </si>
  <si>
    <t>API: Fix create employee API</t>
  </si>
  <si>
    <t>UI: Màn hình Thêm thành viên (Add Member)</t>
  </si>
  <si>
    <t>UI: Màn hình Quản lý Chủ đề dự án (Task Category)</t>
  </si>
  <si>
    <t>UI: Ghi nhận và quản lý thời gian hoạt động (Log/Edit Spent Time)</t>
  </si>
  <si>
    <t>UI: Tương thích giao diện Redmine (Pagination, Prev/Next Nav, Sidebar)</t>
  </si>
  <si>
    <t>UI: Fix giao diện quản lí nhân sự</t>
  </si>
  <si>
    <t xml:space="preserve">API: CRUD salary variables
</t>
  </si>
  <si>
    <t>API: CRUD salary components</t>
  </si>
  <si>
    <t>API: Validate salary formula</t>
  </si>
  <si>
    <t xml:space="preserve">API: Employee salary configs
</t>
  </si>
  <si>
    <t>API: Payroll generation settings</t>
  </si>
  <si>
    <t xml:space="preserve">API: Get my payslips history
</t>
  </si>
  <si>
    <t>API/UI Application Detail</t>
  </si>
  <si>
    <t>API/UI Offer Detail và lịch sử phiên bản Offer</t>
  </si>
  <si>
    <t>Cập nhật ERD theo Prisma schema hiện tại</t>
  </si>
  <si>
    <t xml:space="preserve">Flow Screen
</t>
  </si>
  <si>
    <t>API: CRUD payslip templates</t>
  </si>
  <si>
    <t xml:space="preserve">API: Employee salary configs
</t>
  </si>
  <si>
    <t xml:space="preserve">API: Get my payslips history
</t>
  </si>
  <si>
    <t xml:space="preserve">Flow Screen
</t>
  </si>
  <si>
    <t>Refactor: Extract task review logic to custom hook useTaskReview</t>
  </si>
  <si>
    <t>Tách logic Gantt Tab sang hook useProjectGantt</t>
  </si>
  <si>
    <t>Chuẩn hóa hằng số (constants) và Query Keys cho Gantt</t>
  </si>
  <si>
    <t>Database: Thiết kế schema Prisma &amp; migration cho Project, Member, Tracker, và Role</t>
  </si>
  <si>
    <t xml:space="preserve"> Backend: Xây dựng service CRUD và API endpoints cho Project &amp; Quản lý thành viên</t>
  </si>
  <si>
    <t>Backend: Thiết kế API CRUD, schemas validation Zod cho Task &amp; Spent Time</t>
  </si>
  <si>
    <t xml:space="preserve"> UI: Xây dựng Dashboard danh sách dự án và Màn hình chi tiết dự án (Project Details)</t>
  </si>
  <si>
    <t>UI: Thiết kế Màn hình Kanban Board hiển thị danh sách công việc theo trạng thái</t>
  </si>
  <si>
    <t>UI: Xây dựng Màn hình Thêm mới công việc (New Task) &amp; Chỉnh sửa công việc (Modify Task)</t>
  </si>
  <si>
    <t>UI: Tích hợp Quản lý vai trò (Project Roles) &amp; Gán vai trò cho thành viên (Position Rules UI)</t>
  </si>
  <si>
    <t>Public portal để ứng viên nộp CV không cần đăng nhập</t>
  </si>
  <si>
    <t>Upload, lưu trữ, preview và download CV an toàn</t>
  </si>
  <si>
    <t>Gửi email lịch phỏng vấn cho ứng viên</t>
  </si>
  <si>
    <t>Cập nhật API Documentation cho Recruitment</t>
  </si>
  <si>
    <t>Cập nhật API Documentation cho Contract, Insurance</t>
  </si>
  <si>
    <t>Backend: Xây dựng logic ghi nhận (Spent Time) và tích hợp phê duyệt công cho Part-time</t>
  </si>
  <si>
    <t>Backend: Xây dựng quy trình phê duyệt công việc (Submit Work, Approve, Reject, Reopen)</t>
  </si>
  <si>
    <t>Refactor: Tách logic xử lý Gantt sang hook useProjectGantt &amp; tối ưu bộ lọc tìm kiếm</t>
  </si>
  <si>
    <t>Refactor: Chuẩn hóa hằng số (constants) và Query Keys cho toàn bộ module Task &amp; Project</t>
  </si>
  <si>
    <t>Test: Viết unit tests cho các service cốt lõi (TaskService, ProjectService, SpentTimeService)</t>
  </si>
  <si>
    <t xml:space="preserve">Test: Xây dựng các ca kiểm thử đơn vị (Unit Tests) cho TaskEstimateAiService và xử lý fallback API
</t>
  </si>
  <si>
    <t>Thiết kế Schema &amp; Seed dữ liệu Permission động</t>
  </si>
  <si>
    <t>Xây dựng Middleware đối soát quyền hạn (requirePermission)</t>
  </si>
  <si>
    <t>Cập nhật API Login &amp; Me để trả về danh sách Permissions</t>
  </si>
  <si>
    <t>API: CRUD các Vai trò (Roles)</t>
  </si>
  <si>
    <t>API: Gán/thu hồi quyền của Vai trò (Role-Permission Mapping)</t>
  </si>
  <si>
    <t>Cập nhật Auth Store &amp; usePermission Hook</t>
  </si>
  <si>
    <t>Refactor Route Guards trên React Router</t>
  </si>
  <si>
    <t xml:space="preserve"> Refactor logic hiển thị trên màn hình Danh sách Nhân viên &amp; Dự án</t>
  </si>
  <si>
    <t>Refactor phân quyền trên Kanban &amp; Gantt Chart dự án</t>
  </si>
  <si>
    <t>UI: Trang danh sách quản lý các Vai trò</t>
  </si>
  <si>
    <t>UI: Ma trận phân quyền (Permission Matrix)</t>
  </si>
  <si>
    <t xml:space="preserve">UI: Gán quyền trực tiếp cho Nhân sự
</t>
  </si>
  <si>
    <t>Báo cáo RBL - FER</t>
  </si>
  <si>
    <t>Unit Test: Các Service Cốt lõi</t>
  </si>
  <si>
    <t>Test: Cảnh báo Bảo mật &amp; Khóa tài khoản</t>
  </si>
  <si>
    <t>Fix: Lỗi phân tích tĩnh &amp; TypeScript cảnh báo trong test suites</t>
  </si>
  <si>
    <t xml:space="preserve">Integration Test: Luồng RBAC động &amp; Caching
</t>
  </si>
  <si>
    <t>Đặc tả chi tiết các Use Case phần Attendance</t>
  </si>
  <si>
    <t>Thiết kế Schema dữ liệu Attendance (Prisma)</t>
  </si>
  <si>
    <t>API: Check-in / Check-out / Scan QR</t>
  </si>
  <si>
    <t>API: Query danh sách bản ghi chấm công</t>
  </si>
  <si>
    <t xml:space="preserve">API: CRUD Ca làm việc (Working Shifts)
</t>
  </si>
  <si>
    <t>API: CRUD Ngày nghỉ lễ (Holidays)</t>
  </si>
  <si>
    <t>API: CRUD Mẫu lịch tuần (Weekly Schedule Templates)</t>
  </si>
  <si>
    <t xml:space="preserve">API: Gán / Sinh / Override lịch tuần
</t>
  </si>
  <si>
    <t>Gửi email Offer và nhắc hạn phản hồi Offer</t>
  </si>
  <si>
    <t>Tích hợp thực tế kênh đăng tuyển/nhận CV qua OAuth</t>
  </si>
  <si>
    <t>API Detect Suspicious Activity</t>
  </si>
  <si>
    <t xml:space="preserve">API: Cấu hình sinh lịch tuần (Schedule Settings)
</t>
  </si>
  <si>
    <t>API: Submit &amp; xem yêu cầu đổi ca (Employee)</t>
  </si>
  <si>
    <t>UI: Trang Dashboard chấm công</t>
  </si>
  <si>
    <t>UI: Trang Tổng hợp chấm công theo tháng</t>
  </si>
  <si>
    <t>Unit Test: PartTimeAvailabilityService</t>
  </si>
  <si>
    <t>Unit Test: PtShiftSuggestionService</t>
  </si>
  <si>
    <t>Unit Test: HolidayService</t>
  </si>
  <si>
    <t>Unit Test: ScheduleInsightsService</t>
  </si>
  <si>
    <t>Unit Test: ShiftChangeRequestService</t>
  </si>
  <si>
    <t>Unit Test: WeeklyScheduleTemplateService</t>
  </si>
  <si>
    <t>Unit Test: ScheduleService</t>
  </si>
  <si>
    <t>Unit Test: AttendanceService</t>
  </si>
  <si>
    <t>Unit Test: ShiftService</t>
  </si>
  <si>
    <t>API: CRUD lịch rảnh Part-time (mine / list / employee)</t>
  </si>
  <si>
    <t>UI: Tích hợp Modal Gợi ý Assignee AI và Modal Sinh công việc tự động bằng AI (AI Task Generator UI)</t>
  </si>
  <si>
    <t>API: Gán ca từ lịch rảnh (POST /:id/assign-shifts)</t>
  </si>
  <si>
    <t>UI: Trang Admin xếp ca theo lịch rảnh</t>
  </si>
  <si>
    <t>UI: Drawer/Panel gán ca + Apply suggestion</t>
  </si>
  <si>
    <t>Database Schema Security Alert</t>
  </si>
  <si>
    <t>API CRUD/xử lý Security Alerts</t>
  </si>
  <si>
    <t>UI danh sách và chi tiết Security Alerts</t>
  </si>
  <si>
    <t>Util: Score độ tin cậy NV Part-time từ attendance</t>
  </si>
  <si>
    <t>Util: Build assigned day summaries cho roster admin</t>
  </si>
  <si>
    <t>API: Approve/Reject yêu cầu đổi ca</t>
  </si>
  <si>
    <t xml:space="preserve"> API: Danh sách yêu cầu đổi ca (Admin)</t>
  </si>
  <si>
    <t>UI: Trang Ca thực tế (Real Shift) — so sánh ca kế hoạch vs thực tế</t>
  </si>
  <si>
    <t>UI: Trang NV khai báo lịch rảnh Part-time</t>
  </si>
  <si>
    <t xml:space="preserve"> UI: Sheet gửi yêu cầu đổi ca (Shift Change Request)</t>
  </si>
  <si>
    <t xml:space="preserve"> UI: Panel Insights &amp; Gợi ý template lịch tuần</t>
  </si>
  <si>
    <t>UI: Virtual Scanner — chấm công QR/GPS</t>
  </si>
  <si>
    <t>API: Export báo cáo chấm công (Excel/CSV)</t>
  </si>
  <si>
    <t>Cron: Tự sinh lịch tuần theo WeeklyScheduleSettings</t>
  </si>
  <si>
    <t>Docs: Generate tài liệu AI cho module Attendance</t>
  </si>
  <si>
    <t xml:space="preserve"> Vẽ Sequence Diagram cho luồng Check-in / Check-out</t>
  </si>
  <si>
    <t>Vẽ Sequence Diagram cho luồng Xếp lịch tuần tự động</t>
  </si>
  <si>
    <t>Vẽ Sequence Diagram cho luồng Part-time: Submit → Gợi ý → Gán ca</t>
  </si>
  <si>
    <t>AI Feature</t>
  </si>
  <si>
    <t>Backend: Thuật toán đề xuất Assignee tối ưu (TaskEstimateAiService) dựa trên Skill, Workload, Availability</t>
  </si>
  <si>
    <t>Backend: Tích hợp Gemini API phân rã dự án thành các Tasks đề xuất theo Tech Stack</t>
  </si>
  <si>
    <t xml:space="preserve">UI: Tích hợp Modal Gợi ý Assignee AI và Modal Sinh công việc tự động bằng AI (AI Task Generator UI)
</t>
  </si>
  <si>
    <t>Cập nhật RDS theo codebase hiện tại</t>
  </si>
  <si>
    <t>Deploy dự án</t>
  </si>
  <si>
    <t>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</si>
</sst>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yy"/>
    <numFmt numFmtId="165" formatCode="dd/mm/yyyy"/>
  </numFmts>
  <fonts count="1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30"/>
      <color rgb="FF0B5394"/>
      <name val="Roboto"/>
    </font>
    <font>
      <sz val="10"/>
      <name val="Arial"/>
    </font>
    <font>
      <b/>
      <sz val="18"/>
      <color rgb="FF0B5394"/>
      <name val="Roboto"/>
    </font>
    <font>
      <b/>
      <sz val="10"/>
      <color rgb="FF666666"/>
      <name val="Roboto"/>
    </font>
    <font>
      <sz val="10"/>
      <color rgb="FF000000"/>
      <name val="Roboto"/>
    </font>
    <font>
      <b/>
      <sz val="10"/>
      <color theme="1"/>
      <name val="Roboto"/>
    </font>
    <font>
      <sz val="10"/>
      <color theme="1"/>
      <name val="Roboto"/>
    </font>
    <font>
      <sz val="10"/>
      <color theme="1"/>
      <name val="Arial"/>
      <scheme val="minor"/>
    </font>
    <font>
      <u/>
      <sz val="10"/>
      <color rgb="FF0000FF"/>
      <name val="Roboto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57BB8A"/>
        <bgColor rgb="FF57BB8A"/>
      </patternFill>
    </fill>
    <fill>
      <patternFill patternType="solid">
        <fgColor rgb="FF90D2B2"/>
        <bgColor rgb="FF90D2B2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59D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B7B7B7"/>
      </bottom>
      <diagonal/>
    </border>
    <border>
      <left/>
      <right style="medium">
        <color rgb="FF0B5394"/>
      </right>
      <top/>
      <bottom style="medium">
        <color rgb="FF0B559D"/>
      </bottom>
      <diagonal/>
    </border>
    <border>
      <left style="medium">
        <color rgb="FF0B5394"/>
      </left>
      <right/>
      <top/>
      <bottom style="medium">
        <color rgb="FF0B559D"/>
      </bottom>
      <diagonal/>
    </border>
    <border>
      <left/>
      <right style="medium">
        <color rgb="FF0B5394"/>
      </right>
      <top/>
      <bottom style="medium">
        <color rgb="FF0B5394"/>
      </bottom>
      <diagonal/>
    </border>
    <border>
      <left style="medium">
        <color rgb="FF0B5394"/>
      </left>
      <right style="medium">
        <color rgb="FF0B5394"/>
      </right>
      <top/>
      <bottom style="medium">
        <color rgb="FF0B5394"/>
      </bottom>
      <diagonal/>
    </border>
    <border>
      <left style="medium">
        <color rgb="FF0B5394"/>
      </left>
      <right/>
      <top/>
      <bottom style="medium">
        <color rgb="FF0B5394"/>
      </bottom>
      <diagonal/>
    </border>
    <border>
      <left/>
      <right/>
      <top style="thin">
        <color rgb="FFB7B7B7"/>
      </top>
      <bottom/>
      <diagonal/>
    </border>
    <border>
      <left/>
      <right style="medium">
        <color rgb="FF0B5394"/>
      </right>
      <top/>
      <bottom/>
      <diagonal/>
    </border>
    <border>
      <left style="medium">
        <color rgb="FF0B5394"/>
      </left>
      <right/>
      <top/>
      <bottom/>
      <diagonal/>
    </border>
    <border>
      <left style="medium">
        <color rgb="FF0B5394"/>
      </left>
      <right style="medium">
        <color rgb="FF0B5394"/>
      </right>
      <top/>
      <bottom/>
      <diagonal/>
    </border>
    <border>
      <left style="medium">
        <color rgb="FF0B559D"/>
      </left>
      <right style="medium">
        <color rgb="FF0B559D"/>
      </right>
      <top style="medium">
        <color rgb="FF0B559D"/>
      </top>
      <bottom style="medium">
        <color rgb="FF0B559D"/>
      </bottom>
      <diagonal/>
    </border>
    <border>
      <left style="medium">
        <color rgb="FF0B559D"/>
      </left>
      <right style="medium">
        <color rgb="FF0B559D"/>
      </right>
      <top style="medium">
        <color rgb="FF0B559D"/>
      </top>
      <bottom style="medium">
        <color rgb="FF0B5394"/>
      </bottom>
      <diagonal/>
    </border>
    <border>
      <left style="medium">
        <color rgb="FF0B559D"/>
      </left>
      <right style="medium">
        <color rgb="FF0B559D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9" fillId="0" borderId="10" xfId="0" applyFont="1" applyBorder="1" applyAlignment="1">
      <alignment horizontal="center" vertical="center"/>
    </xf>
    <xf numFmtId="10" fontId="9" fillId="4" borderId="11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10" fontId="1" fillId="0" borderId="1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10" fontId="9" fillId="5" borderId="1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9" fontId="1" fillId="0" borderId="0" xfId="0" applyNumberFormat="1" applyFont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164" fontId="9" fillId="0" borderId="15" xfId="0" applyNumberFormat="1" applyFont="1" applyBorder="1" applyAlignment="1">
      <alignment horizontal="center" vertical="center" wrapText="1"/>
    </xf>
    <xf numFmtId="1" fontId="9" fillId="0" borderId="15" xfId="0" applyNumberFormat="1" applyFont="1" applyBorder="1" applyAlignment="1">
      <alignment horizontal="center" vertical="center" wrapText="1"/>
    </xf>
    <xf numFmtId="165" fontId="9" fillId="0" borderId="15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165" fontId="1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vertical="center" wrapText="1"/>
    </xf>
    <xf numFmtId="0" fontId="10" fillId="0" borderId="0" xfId="0" applyFont="1"/>
    <xf numFmtId="165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0" borderId="1" xfId="0" applyFont="1" applyBorder="1"/>
    <xf numFmtId="0" fontId="5" fillId="0" borderId="2" xfId="0" applyFont="1" applyBorder="1" applyAlignment="1">
      <alignment horizontal="left" wrapText="1"/>
    </xf>
    <xf numFmtId="0" fontId="4" fillId="0" borderId="2" xfId="0" applyFont="1" applyBorder="1"/>
    <xf numFmtId="0" fontId="5" fillId="0" borderId="2" xfId="0" applyFont="1" applyBorder="1" applyAlignment="1">
      <alignment wrapText="1"/>
    </xf>
    <xf numFmtId="0" fontId="6" fillId="0" borderId="0" xfId="0" applyFont="1" applyAlignment="1">
      <alignment horizontal="left" vertical="center"/>
    </xf>
    <xf numFmtId="0" fontId="0" fillId="0" borderId="0" xfId="0"/>
    <xf numFmtId="0" fontId="7" fillId="0" borderId="3" xfId="0" applyFont="1" applyBorder="1" applyAlignment="1">
      <alignment horizontal="left" vertical="center"/>
    </xf>
    <xf numFmtId="0" fontId="4" fillId="0" borderId="3" xfId="0" applyFont="1" applyBorder="1"/>
    <xf numFmtId="0" fontId="6" fillId="0" borderId="3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11" fillId="0" borderId="3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4" fillId="0" borderId="9" xfId="0" applyFont="1" applyBorder="1"/>
    <xf numFmtId="0" fontId="9" fillId="0" borderId="3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fgColor theme="9" tint="0.39994506668294322"/>
          <bgColor theme="9" tint="0.39994506668294322"/>
        </patternFill>
      </fill>
    </dxf>
    <dxf>
      <fill>
        <patternFill>
          <fgColor rgb="FF00B0F0"/>
          <bgColor rgb="FF00B0F0"/>
        </patternFill>
      </fill>
    </dxf>
    <dxf>
      <font>
        <color auto="1"/>
      </font>
      <fill>
        <patternFill>
          <fgColor rgb="FF00B0F0"/>
        </patternFill>
      </fill>
    </dxf>
    <dxf>
      <fill>
        <patternFill>
          <fgColor rgb="FFCCFF66"/>
          <bgColor rgb="FFCCFF66"/>
        </patternFill>
      </fill>
    </dxf>
    <dxf>
      <font>
        <color auto="1"/>
      </font>
      <fill>
        <patternFill>
          <fgColor rgb="FF00B0F0"/>
        </patternFill>
      </fill>
    </dxf>
    <dxf>
      <fill>
        <patternFill>
          <fgColor rgb="FF00B0F0"/>
          <bgColor rgb="FF00B0F0"/>
        </patternFill>
      </fill>
    </dxf>
    <dxf>
      <fill>
        <patternFill>
          <fgColor theme="9" tint="0.39994506668294322"/>
          <bgColor theme="9" tint="0.39994506668294322"/>
        </patternFill>
      </fill>
    </dxf>
    <dxf>
      <fill>
        <patternFill>
          <fgColor rgb="FF00B0F0"/>
          <bgColor rgb="FF00B0F0"/>
        </patternFill>
      </fill>
    </dxf>
    <dxf>
      <font>
        <color auto="1"/>
      </font>
      <fill>
        <patternFill>
          <fgColor rgb="FF00B0F0"/>
        </patternFill>
      </fill>
    </dxf>
    <dxf>
      <font>
        <color auto="1"/>
      </font>
      <fill>
        <patternFill>
          <fgColor rgb="FF00B0F0"/>
        </patternFill>
      </fill>
    </dxf>
  </dxfs>
  <tableStyles count="0" defaultTableStyle="TableStyleMedium2" defaultPivotStyle="PivotStyleLight16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ldanh270/integrated-hr-and-product-system/tree/main/backend" TargetMode="External"/><Relationship Id="rId2" Type="http://schemas.openxmlformats.org/officeDocument/2006/relationships/hyperlink" Target="https://github.com/ldanh270/integrated-hr-and-product-system/tree/main/frontend" TargetMode="External"/><Relationship Id="rId1" Type="http://schemas.openxmlformats.org/officeDocument/2006/relationships/hyperlink" Target="https://integrated-hr-and-product-system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P996"/>
  <sheetViews>
    <sheetView showGridLines="0" tabSelected="1" topLeftCell="A14" workbookViewId="0">
      <selection activeCell="G22" sqref="G22"/>
    </sheetView>
  </sheetViews>
  <sheetFormatPr defaultColWidth="12.5703125" defaultRowHeight="15" customHeight="1" x14ac:dyDescent="0.2"/>
  <cols>
    <col min="1" max="1" width="4.5703125" customWidth="1"/>
    <col min="2" max="3" width="9.5703125" customWidth="1"/>
    <col min="4" max="4" width="23.7109375" customWidth="1"/>
    <col min="5" max="5" width="80" customWidth="1"/>
    <col min="6" max="6" width="19" customWidth="1"/>
    <col min="7" max="7" width="23.42578125" customWidth="1"/>
    <col min="8" max="8" width="22.42578125" customWidth="1"/>
    <col min="9" max="9" width="16.42578125" customWidth="1"/>
    <col min="10" max="12" width="13.85546875" customWidth="1"/>
    <col min="13" max="13" width="17.42578125" customWidth="1"/>
    <col min="14" max="14" width="13.85546875" customWidth="1"/>
    <col min="15" max="15" width="9" customWidth="1"/>
  </cols>
  <sheetData>
    <row r="1" spans="1:16" ht="22.5" customHeight="1" x14ac:dyDescent="0.2">
      <c r="A1" s="1"/>
      <c r="B1" s="2"/>
      <c r="C1" s="2"/>
      <c r="D1" s="3"/>
      <c r="E1" s="4"/>
      <c r="F1" s="5"/>
      <c r="G1" s="2"/>
      <c r="H1" s="5"/>
      <c r="I1" s="1"/>
      <c r="J1" s="1"/>
      <c r="K1" s="1"/>
      <c r="L1" s="1"/>
      <c r="M1" s="1"/>
      <c r="N1" s="1"/>
      <c r="O1" s="1"/>
      <c r="P1" s="1"/>
    </row>
    <row r="2" spans="1:16" ht="45" customHeight="1" x14ac:dyDescent="0.55000000000000004">
      <c r="A2" s="6"/>
      <c r="B2" s="49" t="s">
        <v>0</v>
      </c>
      <c r="C2" s="50"/>
      <c r="D2" s="50"/>
      <c r="E2" s="50"/>
      <c r="F2" s="7"/>
      <c r="G2" s="51" t="s">
        <v>1</v>
      </c>
      <c r="H2" s="52"/>
      <c r="I2" s="6"/>
      <c r="J2" s="53" t="s">
        <v>2</v>
      </c>
      <c r="K2" s="52"/>
      <c r="L2" s="52"/>
      <c r="M2" s="52"/>
      <c r="N2" s="52"/>
      <c r="O2" s="6"/>
    </row>
    <row r="3" spans="1:16" ht="22.5" customHeight="1" x14ac:dyDescent="0.2">
      <c r="A3" s="1"/>
      <c r="B3" s="4"/>
      <c r="C3" s="5"/>
      <c r="D3" s="3"/>
      <c r="E3" s="3"/>
      <c r="F3" s="2"/>
      <c r="G3" s="5"/>
      <c r="H3" s="5"/>
      <c r="I3" s="1"/>
      <c r="J3" s="1"/>
      <c r="K3" s="1"/>
      <c r="L3" s="1"/>
      <c r="M3" s="1"/>
      <c r="N3" s="1"/>
      <c r="O3" s="1"/>
    </row>
    <row r="4" spans="1:16" ht="22.5" customHeight="1" x14ac:dyDescent="0.2">
      <c r="A4" s="1"/>
      <c r="B4" s="54" t="s">
        <v>3</v>
      </c>
      <c r="C4" s="55"/>
      <c r="D4" s="56" t="s">
        <v>4</v>
      </c>
      <c r="E4" s="57"/>
      <c r="F4" s="2"/>
      <c r="G4" s="9" t="s">
        <v>5</v>
      </c>
      <c r="H4" s="10" t="s">
        <v>6</v>
      </c>
      <c r="I4" s="1"/>
      <c r="J4" s="11" t="s">
        <v>7</v>
      </c>
      <c r="K4" s="12" t="s">
        <v>8</v>
      </c>
      <c r="L4" s="12" t="s">
        <v>9</v>
      </c>
      <c r="M4" s="12" t="s">
        <v>10</v>
      </c>
      <c r="N4" s="13" t="s">
        <v>11</v>
      </c>
      <c r="O4" s="1"/>
    </row>
    <row r="5" spans="1:16" ht="22.5" customHeight="1" x14ac:dyDescent="0.2">
      <c r="A5" s="1"/>
      <c r="B5" s="14"/>
      <c r="C5" s="15"/>
      <c r="D5" s="16"/>
      <c r="E5" s="17"/>
      <c r="F5" s="2"/>
      <c r="G5" s="18" t="s">
        <v>12</v>
      </c>
      <c r="H5" s="19">
        <f t="shared" ref="H5:H9" si="0">SUMIF($G$26:$G$273, G5, $K$26:$K$273) / SUM($K$26:$K$273)</f>
        <v>0.24854368932038834</v>
      </c>
      <c r="I5" s="1"/>
      <c r="J5" s="20">
        <v>1</v>
      </c>
      <c r="K5" s="21">
        <f t="shared" ref="K5:K14" si="1">COUNTIF($C$26:$C273, J5)</f>
        <v>11</v>
      </c>
      <c r="L5" s="21">
        <f t="shared" ref="L5:L14" si="2">SUMIF($C$26:$C273, J5, $K$26:$K273)</f>
        <v>47</v>
      </c>
      <c r="M5" s="21">
        <f t="shared" ref="M5:M14" si="3">SUMIFS($K$26:$K273, $C$26:$C273, J5, $H$26:$H273, "DONE")</f>
        <v>47</v>
      </c>
      <c r="N5" s="22">
        <f t="shared" ref="N5:N14" si="4">IFERROR(M5/L5, 0)</f>
        <v>1</v>
      </c>
      <c r="O5" s="1"/>
    </row>
    <row r="6" spans="1:16" ht="22.5" customHeight="1" x14ac:dyDescent="0.2">
      <c r="A6" s="1"/>
      <c r="B6" s="58" t="s">
        <v>13</v>
      </c>
      <c r="C6" s="57"/>
      <c r="D6" s="56" t="s">
        <v>14</v>
      </c>
      <c r="E6" s="57"/>
      <c r="F6" s="2"/>
      <c r="G6" s="18" t="s">
        <v>15</v>
      </c>
      <c r="H6" s="24">
        <f t="shared" si="0"/>
        <v>0.20291262135922331</v>
      </c>
      <c r="I6" s="1"/>
      <c r="J6" s="20">
        <v>2</v>
      </c>
      <c r="K6" s="21">
        <f t="shared" si="1"/>
        <v>21</v>
      </c>
      <c r="L6" s="21">
        <f t="shared" si="2"/>
        <v>122</v>
      </c>
      <c r="M6" s="21">
        <f t="shared" si="3"/>
        <v>122</v>
      </c>
      <c r="N6" s="22">
        <f t="shared" si="4"/>
        <v>1</v>
      </c>
      <c r="O6" s="1"/>
    </row>
    <row r="7" spans="1:16" ht="22.5" customHeight="1" x14ac:dyDescent="0.2">
      <c r="A7" s="1"/>
      <c r="B7" s="5"/>
      <c r="C7" s="5"/>
      <c r="D7" s="56" t="s">
        <v>16</v>
      </c>
      <c r="E7" s="57"/>
      <c r="F7" s="2"/>
      <c r="G7" s="18" t="s">
        <v>17</v>
      </c>
      <c r="H7" s="24">
        <f t="shared" si="0"/>
        <v>0.19902912621359223</v>
      </c>
      <c r="I7" s="1"/>
      <c r="J7" s="20">
        <v>3</v>
      </c>
      <c r="K7" s="21">
        <f t="shared" si="1"/>
        <v>30</v>
      </c>
      <c r="L7" s="21">
        <f t="shared" si="2"/>
        <v>155</v>
      </c>
      <c r="M7" s="21">
        <f t="shared" si="3"/>
        <v>155</v>
      </c>
      <c r="N7" s="22">
        <f t="shared" si="4"/>
        <v>1</v>
      </c>
      <c r="O7" s="1"/>
    </row>
    <row r="8" spans="1:16" ht="22.5" customHeight="1" x14ac:dyDescent="0.2">
      <c r="A8" s="1"/>
      <c r="B8" s="59"/>
      <c r="C8" s="55"/>
      <c r="D8" s="56" t="s">
        <v>18</v>
      </c>
      <c r="E8" s="57"/>
      <c r="F8" s="5"/>
      <c r="G8" s="18" t="s">
        <v>19</v>
      </c>
      <c r="H8" s="24">
        <f t="shared" si="0"/>
        <v>0.15048543689320387</v>
      </c>
      <c r="I8" s="1"/>
      <c r="J8" s="20">
        <v>4</v>
      </c>
      <c r="K8" s="21">
        <f t="shared" si="1"/>
        <v>30</v>
      </c>
      <c r="L8" s="21">
        <f t="shared" si="2"/>
        <v>151</v>
      </c>
      <c r="M8" s="21">
        <f t="shared" si="3"/>
        <v>151</v>
      </c>
      <c r="N8" s="22">
        <f t="shared" si="4"/>
        <v>1</v>
      </c>
      <c r="O8" s="1"/>
    </row>
    <row r="9" spans="1:16" ht="22.5" customHeight="1" x14ac:dyDescent="0.2">
      <c r="A9" s="1"/>
      <c r="B9" s="59"/>
      <c r="C9" s="55"/>
      <c r="D9" s="56" t="s">
        <v>20</v>
      </c>
      <c r="E9" s="57"/>
      <c r="F9" s="5"/>
      <c r="G9" s="18" t="s">
        <v>21</v>
      </c>
      <c r="H9" s="24">
        <f t="shared" si="0"/>
        <v>0.19902912621359223</v>
      </c>
      <c r="I9" s="1"/>
      <c r="J9" s="20">
        <v>5</v>
      </c>
      <c r="K9" s="21">
        <f t="shared" si="1"/>
        <v>27</v>
      </c>
      <c r="L9" s="21">
        <f t="shared" si="2"/>
        <v>94</v>
      </c>
      <c r="M9" s="21">
        <f t="shared" si="3"/>
        <v>94</v>
      </c>
      <c r="N9" s="22">
        <f t="shared" si="4"/>
        <v>1</v>
      </c>
      <c r="O9" s="1"/>
    </row>
    <row r="10" spans="1:16" ht="22.5" customHeight="1" x14ac:dyDescent="0.2">
      <c r="A10" s="1"/>
      <c r="B10" s="59"/>
      <c r="C10" s="55"/>
      <c r="D10" s="56" t="s">
        <v>22</v>
      </c>
      <c r="E10" s="57"/>
      <c r="F10" s="5"/>
      <c r="G10" s="25"/>
      <c r="H10" s="26"/>
      <c r="I10" s="1"/>
      <c r="J10" s="20">
        <v>6</v>
      </c>
      <c r="K10" s="21">
        <f t="shared" si="1"/>
        <v>27</v>
      </c>
      <c r="L10" s="21">
        <f t="shared" si="2"/>
        <v>122</v>
      </c>
      <c r="M10" s="21">
        <f t="shared" si="3"/>
        <v>122</v>
      </c>
      <c r="N10" s="22">
        <f t="shared" si="4"/>
        <v>1</v>
      </c>
      <c r="O10" s="1"/>
    </row>
    <row r="11" spans="1:16" ht="22.5" customHeight="1" x14ac:dyDescent="0.2">
      <c r="A11" s="1"/>
      <c r="B11" s="25"/>
      <c r="C11" s="26"/>
      <c r="D11" s="25"/>
      <c r="E11" s="4"/>
      <c r="F11" s="5"/>
      <c r="G11" s="5"/>
      <c r="H11" s="5"/>
      <c r="I11" s="1"/>
      <c r="J11" s="20">
        <v>7</v>
      </c>
      <c r="K11" s="21">
        <f t="shared" si="1"/>
        <v>27</v>
      </c>
      <c r="L11" s="21">
        <f t="shared" si="2"/>
        <v>98</v>
      </c>
      <c r="M11" s="21">
        <f t="shared" si="3"/>
        <v>98</v>
      </c>
      <c r="N11" s="22">
        <f t="shared" si="4"/>
        <v>1</v>
      </c>
      <c r="O11" s="1"/>
    </row>
    <row r="12" spans="1:16" ht="22.5" customHeight="1" x14ac:dyDescent="0.2">
      <c r="A12" s="1"/>
      <c r="B12" s="2"/>
      <c r="C12" s="2"/>
      <c r="D12" s="25"/>
      <c r="E12" s="25"/>
      <c r="F12" s="5"/>
      <c r="G12" s="5"/>
      <c r="H12" s="5"/>
      <c r="I12" s="1"/>
      <c r="J12" s="20">
        <v>8</v>
      </c>
      <c r="K12" s="21">
        <f t="shared" si="1"/>
        <v>34</v>
      </c>
      <c r="L12" s="21">
        <f t="shared" si="2"/>
        <v>129</v>
      </c>
      <c r="M12" s="21">
        <f t="shared" si="3"/>
        <v>129</v>
      </c>
      <c r="N12" s="22">
        <f t="shared" si="4"/>
        <v>1</v>
      </c>
      <c r="O12" s="1"/>
    </row>
    <row r="13" spans="1:16" ht="22.5" customHeight="1" x14ac:dyDescent="0.2">
      <c r="A13" s="1"/>
      <c r="B13" s="60" t="s">
        <v>23</v>
      </c>
      <c r="C13" s="52"/>
      <c r="D13" s="52"/>
      <c r="E13" s="52"/>
      <c r="F13" s="5"/>
      <c r="G13" s="5"/>
      <c r="H13" s="5"/>
      <c r="I13" s="1"/>
      <c r="J13" s="20">
        <v>9</v>
      </c>
      <c r="K13" s="21">
        <f t="shared" si="1"/>
        <v>21</v>
      </c>
      <c r="L13" s="21">
        <f t="shared" si="2"/>
        <v>61</v>
      </c>
      <c r="M13" s="21">
        <f t="shared" si="3"/>
        <v>61</v>
      </c>
      <c r="N13" s="22">
        <f t="shared" si="4"/>
        <v>1</v>
      </c>
      <c r="O13" s="1"/>
    </row>
    <row r="14" spans="1:16" ht="22.5" customHeight="1" x14ac:dyDescent="0.2">
      <c r="A14" s="1"/>
      <c r="B14" s="2"/>
      <c r="C14" s="2"/>
      <c r="D14" s="3"/>
      <c r="E14" s="4"/>
      <c r="F14" s="5"/>
      <c r="G14" s="5"/>
      <c r="H14" s="5"/>
      <c r="I14" s="1"/>
      <c r="J14" s="20">
        <v>10</v>
      </c>
      <c r="K14" s="21">
        <f t="shared" si="1"/>
        <v>20</v>
      </c>
      <c r="L14" s="21">
        <f t="shared" si="2"/>
        <v>51</v>
      </c>
      <c r="M14" s="21">
        <f t="shared" si="3"/>
        <v>51</v>
      </c>
      <c r="N14" s="22">
        <f t="shared" si="4"/>
        <v>1</v>
      </c>
      <c r="O14" s="1"/>
    </row>
    <row r="15" spans="1:16" ht="22.5" customHeight="1" x14ac:dyDescent="0.2">
      <c r="A15" s="1"/>
      <c r="B15" s="58" t="s">
        <v>24</v>
      </c>
      <c r="C15" s="57"/>
      <c r="D15" s="61" t="s">
        <v>25</v>
      </c>
      <c r="E15" s="57"/>
      <c r="F15" s="2"/>
      <c r="G15" s="5"/>
      <c r="H15" s="5"/>
      <c r="I15" s="5"/>
      <c r="J15" s="5"/>
      <c r="K15" s="5"/>
      <c r="L15" s="5"/>
      <c r="M15" s="5"/>
      <c r="N15" s="5"/>
      <c r="O15" s="5"/>
    </row>
    <row r="16" spans="1:16" ht="22.5" customHeight="1" x14ac:dyDescent="0.2">
      <c r="A16" s="1"/>
      <c r="B16" s="58" t="s">
        <v>26</v>
      </c>
      <c r="C16" s="57"/>
      <c r="D16" s="61" t="s">
        <v>27</v>
      </c>
      <c r="E16" s="57"/>
      <c r="F16" s="2"/>
      <c r="G16" s="2"/>
      <c r="H16" s="5"/>
      <c r="I16" s="1"/>
      <c r="J16" s="1"/>
      <c r="K16" s="1"/>
      <c r="L16" s="1"/>
      <c r="M16" s="1"/>
      <c r="N16" s="1"/>
      <c r="O16" s="1"/>
      <c r="P16" s="1"/>
    </row>
    <row r="17" spans="1:16" ht="22.5" customHeight="1" x14ac:dyDescent="0.2">
      <c r="A17" s="1"/>
      <c r="B17" s="58" t="s">
        <v>28</v>
      </c>
      <c r="C17" s="57"/>
      <c r="D17" s="61" t="s">
        <v>29</v>
      </c>
      <c r="E17" s="57"/>
      <c r="F17" s="2"/>
      <c r="G17" s="25"/>
      <c r="H17" s="26"/>
      <c r="I17" s="26"/>
      <c r="J17" s="26"/>
      <c r="K17" s="26"/>
      <c r="L17" s="26"/>
      <c r="M17" s="26"/>
      <c r="N17" s="26"/>
      <c r="O17" s="26"/>
      <c r="P17" s="26"/>
    </row>
    <row r="18" spans="1:16" ht="22.5" customHeight="1" x14ac:dyDescent="0.2">
      <c r="A18" s="1"/>
      <c r="B18" s="54" t="s">
        <v>30</v>
      </c>
      <c r="C18" s="55"/>
      <c r="D18" s="64" t="s">
        <v>31</v>
      </c>
      <c r="E18" s="57"/>
      <c r="F18" s="2"/>
      <c r="G18" s="25"/>
      <c r="H18" s="26"/>
      <c r="I18" s="25"/>
      <c r="J18" s="25"/>
      <c r="K18" s="25"/>
      <c r="L18" s="25"/>
      <c r="M18" s="25"/>
      <c r="N18" s="25"/>
      <c r="O18" s="1"/>
      <c r="P18" s="1"/>
    </row>
    <row r="19" spans="1:16" ht="22.5" customHeight="1" x14ac:dyDescent="0.2">
      <c r="A19" s="1"/>
      <c r="B19" s="62" t="s">
        <v>32</v>
      </c>
      <c r="C19" s="63"/>
      <c r="D19" s="65" t="s">
        <v>33</v>
      </c>
      <c r="E19" s="55"/>
      <c r="F19" s="2"/>
      <c r="G19" s="25"/>
      <c r="H19" s="26"/>
      <c r="I19" s="25"/>
      <c r="J19" s="66"/>
      <c r="K19" s="55"/>
      <c r="L19" s="55"/>
      <c r="M19" s="55"/>
      <c r="N19" s="55"/>
      <c r="O19" s="1"/>
      <c r="P19" s="1"/>
    </row>
    <row r="20" spans="1:16" ht="22.5" customHeight="1" x14ac:dyDescent="0.2">
      <c r="A20" s="1"/>
      <c r="B20" s="8"/>
      <c r="C20" s="27"/>
      <c r="D20" s="57"/>
      <c r="E20" s="57"/>
      <c r="F20" s="2"/>
      <c r="G20" s="25"/>
      <c r="H20" s="26"/>
      <c r="I20" s="25"/>
      <c r="J20" s="55"/>
      <c r="K20" s="55"/>
      <c r="L20" s="55"/>
      <c r="M20" s="55"/>
      <c r="N20" s="55"/>
      <c r="O20" s="1"/>
      <c r="P20" s="1"/>
    </row>
    <row r="21" spans="1:16" ht="22.5" customHeight="1" x14ac:dyDescent="0.2">
      <c r="A21" s="1"/>
      <c r="B21" s="62" t="s">
        <v>34</v>
      </c>
      <c r="C21" s="63"/>
      <c r="D21" s="65" t="s">
        <v>35</v>
      </c>
      <c r="E21" s="55"/>
      <c r="F21" s="2"/>
      <c r="G21" s="25"/>
      <c r="H21" s="26"/>
      <c r="I21" s="25"/>
      <c r="J21" s="55"/>
      <c r="K21" s="55"/>
      <c r="L21" s="55"/>
      <c r="M21" s="55"/>
      <c r="N21" s="55"/>
      <c r="O21" s="1"/>
      <c r="P21" s="1"/>
    </row>
    <row r="22" spans="1:16" ht="22.5" customHeight="1" x14ac:dyDescent="0.2">
      <c r="A22" s="1"/>
      <c r="B22" s="23"/>
      <c r="C22" s="28"/>
      <c r="D22" s="57"/>
      <c r="E22" s="57"/>
      <c r="F22" s="2"/>
      <c r="G22" s="2"/>
      <c r="H22" s="5"/>
      <c r="I22" s="1"/>
      <c r="J22" s="1"/>
      <c r="K22" s="1"/>
      <c r="L22" s="1"/>
      <c r="M22" s="1"/>
      <c r="N22" s="1"/>
      <c r="O22" s="1"/>
      <c r="P22" s="1"/>
    </row>
    <row r="23" spans="1:16" ht="22.5" customHeight="1" x14ac:dyDescent="0.2">
      <c r="A23" s="1"/>
      <c r="B23" s="58" t="s">
        <v>36</v>
      </c>
      <c r="C23" s="57"/>
      <c r="D23" s="64"/>
      <c r="E23" s="57"/>
      <c r="F23" s="2"/>
      <c r="G23" s="2"/>
      <c r="H23" s="5"/>
      <c r="I23" s="1"/>
      <c r="J23" s="1"/>
      <c r="K23" s="1"/>
      <c r="L23" s="1"/>
      <c r="M23" s="1"/>
      <c r="N23" s="1"/>
      <c r="O23" s="1"/>
      <c r="P23" s="1"/>
    </row>
    <row r="24" spans="1:16" ht="22.5" customHeight="1" x14ac:dyDescent="0.2">
      <c r="A24" s="1"/>
      <c r="B24" s="2"/>
      <c r="C24" s="2"/>
      <c r="D24" s="3"/>
      <c r="E24" s="3"/>
      <c r="F24" s="2"/>
      <c r="G24" s="25"/>
      <c r="H24" s="26"/>
      <c r="I24" s="25"/>
      <c r="J24" s="25"/>
      <c r="K24" s="1"/>
      <c r="L24" s="1"/>
      <c r="M24" s="1"/>
      <c r="N24" s="1"/>
      <c r="O24" s="1"/>
      <c r="P24" s="1"/>
    </row>
    <row r="25" spans="1:16" ht="17.25" customHeight="1" x14ac:dyDescent="0.2">
      <c r="A25" s="5"/>
      <c r="B25" s="29" t="s">
        <v>37</v>
      </c>
      <c r="C25" s="30" t="s">
        <v>7</v>
      </c>
      <c r="D25" s="30" t="s">
        <v>38</v>
      </c>
      <c r="E25" s="30" t="s">
        <v>39</v>
      </c>
      <c r="F25" s="30" t="s">
        <v>40</v>
      </c>
      <c r="G25" s="30" t="s">
        <v>41</v>
      </c>
      <c r="H25" s="30" t="s">
        <v>42</v>
      </c>
      <c r="I25" s="30" t="s">
        <v>43</v>
      </c>
      <c r="J25" s="30" t="s">
        <v>44</v>
      </c>
      <c r="K25" s="30" t="s">
        <v>45</v>
      </c>
      <c r="L25" s="30" t="s">
        <v>46</v>
      </c>
      <c r="M25" s="30" t="s">
        <v>47</v>
      </c>
      <c r="N25" s="29" t="s">
        <v>48</v>
      </c>
      <c r="O25" s="25"/>
      <c r="P25" s="25"/>
    </row>
    <row r="26" spans="1:16" ht="17.25" customHeight="1" x14ac:dyDescent="0.2">
      <c r="A26" s="31"/>
      <c r="B26" s="32">
        <v>1</v>
      </c>
      <c r="C26" s="33">
        <v>1</v>
      </c>
      <c r="D26" s="34" t="s">
        <v>49</v>
      </c>
      <c r="E26" s="34" t="s">
        <v>50</v>
      </c>
      <c r="F26" s="33" t="s">
        <v>51</v>
      </c>
      <c r="G26" s="33" t="s">
        <v>12</v>
      </c>
      <c r="H26" s="33" t="s">
        <v>52</v>
      </c>
      <c r="I26" s="35">
        <v>46153</v>
      </c>
      <c r="J26" s="35">
        <v>46159</v>
      </c>
      <c r="K26" s="36">
        <v>3</v>
      </c>
      <c r="L26" s="37">
        <v>46155</v>
      </c>
      <c r="M26" s="37">
        <v>46157</v>
      </c>
      <c r="N26" s="38"/>
      <c r="O26" s="25"/>
      <c r="P26" s="25"/>
    </row>
    <row r="27" spans="1:16" ht="17.25" customHeight="1" x14ac:dyDescent="0.2">
      <c r="A27" s="31"/>
      <c r="B27" s="32">
        <v>2</v>
      </c>
      <c r="C27" s="33">
        <v>1</v>
      </c>
      <c r="D27" s="34" t="s">
        <v>49</v>
      </c>
      <c r="E27" s="34" t="s">
        <v>53</v>
      </c>
      <c r="F27" s="33" t="s">
        <v>54</v>
      </c>
      <c r="G27" s="33" t="s">
        <v>17</v>
      </c>
      <c r="H27" s="33" t="s">
        <v>52</v>
      </c>
      <c r="I27" s="35">
        <v>46153</v>
      </c>
      <c r="J27" s="35">
        <v>46159</v>
      </c>
      <c r="K27" s="36">
        <v>4</v>
      </c>
      <c r="L27" s="37">
        <v>46155</v>
      </c>
      <c r="M27" s="37">
        <v>46157</v>
      </c>
      <c r="N27" s="38"/>
      <c r="O27" s="25"/>
      <c r="P27" s="25"/>
    </row>
    <row r="28" spans="1:16" ht="17.25" customHeight="1" x14ac:dyDescent="0.2">
      <c r="A28" s="31"/>
      <c r="B28" s="32">
        <v>3</v>
      </c>
      <c r="C28" s="33">
        <v>1</v>
      </c>
      <c r="D28" s="34" t="s">
        <v>49</v>
      </c>
      <c r="E28" s="34" t="s">
        <v>55</v>
      </c>
      <c r="F28" s="33" t="s">
        <v>54</v>
      </c>
      <c r="G28" s="33" t="s">
        <v>21</v>
      </c>
      <c r="H28" s="33" t="s">
        <v>52</v>
      </c>
      <c r="I28" s="35">
        <v>46153</v>
      </c>
      <c r="J28" s="35">
        <v>46159</v>
      </c>
      <c r="K28" s="36">
        <v>3</v>
      </c>
      <c r="L28" s="37">
        <v>46155</v>
      </c>
      <c r="M28" s="37">
        <v>46157</v>
      </c>
      <c r="N28" s="38"/>
      <c r="O28" s="25"/>
      <c r="P28" s="25"/>
    </row>
    <row r="29" spans="1:16" ht="17.25" customHeight="1" x14ac:dyDescent="0.2">
      <c r="A29" s="31"/>
      <c r="B29" s="32">
        <v>4</v>
      </c>
      <c r="C29" s="33">
        <v>1</v>
      </c>
      <c r="D29" s="34" t="s">
        <v>49</v>
      </c>
      <c r="E29" s="34" t="s">
        <v>56</v>
      </c>
      <c r="F29" s="33" t="s">
        <v>54</v>
      </c>
      <c r="G29" s="33" t="s">
        <v>15</v>
      </c>
      <c r="H29" s="33" t="s">
        <v>52</v>
      </c>
      <c r="I29" s="35">
        <v>46153</v>
      </c>
      <c r="J29" s="35">
        <v>46159</v>
      </c>
      <c r="K29" s="36">
        <v>6</v>
      </c>
      <c r="L29" s="37">
        <v>46155</v>
      </c>
      <c r="M29" s="37">
        <v>46157</v>
      </c>
      <c r="N29" s="38"/>
      <c r="O29" s="25"/>
      <c r="P29" s="25"/>
    </row>
    <row r="30" spans="1:16" ht="17.25" customHeight="1" x14ac:dyDescent="0.2">
      <c r="A30" s="31"/>
      <c r="B30" s="32">
        <v>5</v>
      </c>
      <c r="C30" s="33">
        <v>1</v>
      </c>
      <c r="D30" s="34" t="s">
        <v>49</v>
      </c>
      <c r="E30" s="34" t="s">
        <v>57</v>
      </c>
      <c r="F30" s="33" t="s">
        <v>54</v>
      </c>
      <c r="G30" s="33" t="s">
        <v>19</v>
      </c>
      <c r="H30" s="33" t="s">
        <v>52</v>
      </c>
      <c r="I30" s="35">
        <v>46153</v>
      </c>
      <c r="J30" s="35">
        <v>46159</v>
      </c>
      <c r="K30" s="36">
        <v>2</v>
      </c>
      <c r="L30" s="37">
        <v>46155</v>
      </c>
      <c r="M30" s="37">
        <v>46157</v>
      </c>
      <c r="N30" s="38"/>
      <c r="O30" s="25"/>
      <c r="P30" s="25"/>
    </row>
    <row r="31" spans="1:16" ht="17.25" customHeight="1" x14ac:dyDescent="0.2">
      <c r="A31" s="31"/>
      <c r="B31" s="32">
        <v>6</v>
      </c>
      <c r="C31" s="33">
        <v>1</v>
      </c>
      <c r="D31" s="34" t="s">
        <v>49</v>
      </c>
      <c r="E31" s="34" t="s">
        <v>58</v>
      </c>
      <c r="F31" s="33" t="s">
        <v>51</v>
      </c>
      <c r="G31" s="33" t="s">
        <v>12</v>
      </c>
      <c r="H31" s="33" t="s">
        <v>52</v>
      </c>
      <c r="I31" s="35">
        <v>46153</v>
      </c>
      <c r="J31" s="35">
        <v>46159</v>
      </c>
      <c r="K31" s="36">
        <v>3</v>
      </c>
      <c r="L31" s="37">
        <v>46155</v>
      </c>
      <c r="M31" s="37">
        <v>46157</v>
      </c>
      <c r="N31" s="38"/>
      <c r="O31" s="25"/>
      <c r="P31" s="25"/>
    </row>
    <row r="32" spans="1:16" ht="17.25" customHeight="1" x14ac:dyDescent="0.2">
      <c r="A32" s="39"/>
      <c r="B32" s="32">
        <v>7</v>
      </c>
      <c r="C32" s="33">
        <v>1</v>
      </c>
      <c r="D32" s="34" t="s">
        <v>49</v>
      </c>
      <c r="E32" s="34" t="s">
        <v>59</v>
      </c>
      <c r="F32" s="33" t="s">
        <v>51</v>
      </c>
      <c r="G32" s="33" t="s">
        <v>17</v>
      </c>
      <c r="H32" s="33" t="s">
        <v>52</v>
      </c>
      <c r="I32" s="35">
        <v>46153</v>
      </c>
      <c r="J32" s="35">
        <v>46159</v>
      </c>
      <c r="K32" s="36">
        <v>6</v>
      </c>
      <c r="L32" s="37">
        <v>46155</v>
      </c>
      <c r="M32" s="37">
        <v>46157</v>
      </c>
      <c r="N32" s="38"/>
      <c r="O32" s="25"/>
      <c r="P32" s="25"/>
    </row>
    <row r="33" spans="1:16" ht="17.25" customHeight="1" x14ac:dyDescent="0.2">
      <c r="A33" s="39"/>
      <c r="B33" s="32">
        <v>8</v>
      </c>
      <c r="C33" s="33">
        <v>1</v>
      </c>
      <c r="D33" s="34" t="s">
        <v>49</v>
      </c>
      <c r="E33" s="34" t="s">
        <v>60</v>
      </c>
      <c r="F33" s="33" t="s">
        <v>54</v>
      </c>
      <c r="G33" s="33" t="s">
        <v>21</v>
      </c>
      <c r="H33" s="33" t="s">
        <v>52</v>
      </c>
      <c r="I33" s="35">
        <v>46153</v>
      </c>
      <c r="J33" s="35">
        <v>46159</v>
      </c>
      <c r="K33" s="36">
        <v>5</v>
      </c>
      <c r="L33" s="37">
        <v>46155</v>
      </c>
      <c r="M33" s="37">
        <v>46157</v>
      </c>
      <c r="N33" s="38"/>
      <c r="O33" s="25"/>
      <c r="P33" s="25"/>
    </row>
    <row r="34" spans="1:16" ht="17.25" customHeight="1" x14ac:dyDescent="0.2">
      <c r="A34" s="39"/>
      <c r="B34" s="32">
        <v>9</v>
      </c>
      <c r="C34" s="33">
        <v>1</v>
      </c>
      <c r="D34" s="34" t="s">
        <v>49</v>
      </c>
      <c r="E34" s="34" t="s">
        <v>61</v>
      </c>
      <c r="F34" s="33" t="s">
        <v>51</v>
      </c>
      <c r="G34" s="67" t="s">
        <v>15</v>
      </c>
      <c r="H34" s="33" t="s">
        <v>52</v>
      </c>
      <c r="I34" s="35">
        <v>46153</v>
      </c>
      <c r="J34" s="35">
        <v>46159</v>
      </c>
      <c r="K34" s="36">
        <v>5</v>
      </c>
      <c r="L34" s="37">
        <v>46155</v>
      </c>
      <c r="M34" s="37">
        <v>46157</v>
      </c>
      <c r="N34" s="38"/>
      <c r="O34" s="25"/>
      <c r="P34" s="25"/>
    </row>
    <row r="35" spans="1:16" ht="17.25" customHeight="1" x14ac:dyDescent="0.2">
      <c r="A35" s="39"/>
      <c r="B35" s="32">
        <v>10</v>
      </c>
      <c r="C35" s="41">
        <v>1</v>
      </c>
      <c r="D35" s="38" t="s">
        <v>62</v>
      </c>
      <c r="E35" s="42" t="s">
        <v>63</v>
      </c>
      <c r="F35" s="32" t="s">
        <v>64</v>
      </c>
      <c r="G35" s="67" t="s">
        <v>19</v>
      </c>
      <c r="H35" s="32" t="s">
        <v>52</v>
      </c>
      <c r="I35" s="35">
        <v>46154</v>
      </c>
      <c r="J35" s="35">
        <v>46160</v>
      </c>
      <c r="K35" s="36">
        <v>7</v>
      </c>
      <c r="L35" s="37">
        <v>46156</v>
      </c>
      <c r="M35" s="37">
        <v>46158</v>
      </c>
      <c r="N35" s="42"/>
      <c r="O35" s="25"/>
      <c r="P35" s="25"/>
    </row>
    <row r="36" spans="1:16" ht="17.25" customHeight="1" x14ac:dyDescent="0.2">
      <c r="A36" s="39"/>
      <c r="B36" s="32">
        <v>11</v>
      </c>
      <c r="C36" s="41">
        <v>1</v>
      </c>
      <c r="D36" s="38" t="s">
        <v>62</v>
      </c>
      <c r="E36" s="42" t="s">
        <v>65</v>
      </c>
      <c r="F36" s="32" t="s">
        <v>64</v>
      </c>
      <c r="G36" s="67" t="s">
        <v>12</v>
      </c>
      <c r="H36" s="32" t="s">
        <v>52</v>
      </c>
      <c r="I36" s="35">
        <v>46155</v>
      </c>
      <c r="J36" s="35">
        <v>46161</v>
      </c>
      <c r="K36" s="36">
        <v>3</v>
      </c>
      <c r="L36" s="37">
        <v>46157</v>
      </c>
      <c r="M36" s="37">
        <v>46159</v>
      </c>
      <c r="N36" s="42"/>
      <c r="O36" s="25"/>
      <c r="P36" s="25"/>
    </row>
    <row r="37" spans="1:16" ht="17.25" customHeight="1" x14ac:dyDescent="0.2">
      <c r="A37" s="39"/>
      <c r="B37" s="32">
        <v>12</v>
      </c>
      <c r="C37" s="33">
        <v>2</v>
      </c>
      <c r="D37" s="34" t="s">
        <v>66</v>
      </c>
      <c r="E37" s="34" t="s">
        <v>67</v>
      </c>
      <c r="F37" s="33" t="s">
        <v>64</v>
      </c>
      <c r="G37" s="67" t="s">
        <v>17</v>
      </c>
      <c r="H37" s="33" t="s">
        <v>52</v>
      </c>
      <c r="I37" s="35">
        <v>46160</v>
      </c>
      <c r="J37" s="35">
        <v>46166</v>
      </c>
      <c r="K37" s="36">
        <v>6</v>
      </c>
      <c r="L37" s="37">
        <v>46162</v>
      </c>
      <c r="M37" s="37">
        <v>46164</v>
      </c>
      <c r="N37" s="38"/>
      <c r="O37" s="25"/>
      <c r="P37" s="25"/>
    </row>
    <row r="38" spans="1:16" ht="17.25" customHeight="1" x14ac:dyDescent="0.2">
      <c r="A38" s="39"/>
      <c r="B38" s="32">
        <v>13</v>
      </c>
      <c r="C38" s="33">
        <v>2</v>
      </c>
      <c r="D38" s="34" t="s">
        <v>66</v>
      </c>
      <c r="E38" s="34" t="s">
        <v>68</v>
      </c>
      <c r="F38" s="33" t="s">
        <v>64</v>
      </c>
      <c r="G38" s="67" t="s">
        <v>21</v>
      </c>
      <c r="H38" s="33" t="s">
        <v>52</v>
      </c>
      <c r="I38" s="35">
        <v>46160</v>
      </c>
      <c r="J38" s="35">
        <v>46166</v>
      </c>
      <c r="K38" s="36">
        <v>3</v>
      </c>
      <c r="L38" s="37">
        <v>46162</v>
      </c>
      <c r="M38" s="37">
        <v>46164</v>
      </c>
      <c r="N38" s="38"/>
      <c r="O38" s="25"/>
      <c r="P38" s="25"/>
    </row>
    <row r="39" spans="1:16" ht="17.25" customHeight="1" x14ac:dyDescent="0.2">
      <c r="A39" s="39"/>
      <c r="B39" s="32">
        <v>14</v>
      </c>
      <c r="C39" s="33">
        <v>2</v>
      </c>
      <c r="D39" s="34" t="s">
        <v>66</v>
      </c>
      <c r="E39" s="34" t="s">
        <v>69</v>
      </c>
      <c r="F39" s="33" t="s">
        <v>64</v>
      </c>
      <c r="G39" s="67" t="s">
        <v>15</v>
      </c>
      <c r="H39" s="33" t="s">
        <v>52</v>
      </c>
      <c r="I39" s="35">
        <v>46160</v>
      </c>
      <c r="J39" s="35">
        <v>46166</v>
      </c>
      <c r="K39" s="36">
        <v>5</v>
      </c>
      <c r="L39" s="37">
        <v>46162</v>
      </c>
      <c r="M39" s="37">
        <v>46164</v>
      </c>
      <c r="N39" s="38"/>
      <c r="O39" s="25"/>
      <c r="P39" s="25"/>
    </row>
    <row r="40" spans="1:16" ht="17.25" customHeight="1" x14ac:dyDescent="0.2">
      <c r="A40" s="39"/>
      <c r="B40" s="32">
        <v>15</v>
      </c>
      <c r="C40" s="33">
        <v>2</v>
      </c>
      <c r="D40" s="34" t="s">
        <v>66</v>
      </c>
      <c r="E40" s="34" t="s">
        <v>70</v>
      </c>
      <c r="F40" s="33" t="s">
        <v>64</v>
      </c>
      <c r="G40" s="67" t="s">
        <v>19</v>
      </c>
      <c r="H40" s="33" t="s">
        <v>52</v>
      </c>
      <c r="I40" s="35">
        <v>46160</v>
      </c>
      <c r="J40" s="35">
        <v>46166</v>
      </c>
      <c r="K40" s="36">
        <v>7</v>
      </c>
      <c r="L40" s="37">
        <v>46162</v>
      </c>
      <c r="M40" s="37">
        <v>46164</v>
      </c>
      <c r="N40" s="38"/>
      <c r="O40" s="25"/>
      <c r="P40" s="25"/>
    </row>
    <row r="41" spans="1:16" ht="17.25" customHeight="1" x14ac:dyDescent="0.2">
      <c r="A41" s="39"/>
      <c r="B41" s="32">
        <v>16</v>
      </c>
      <c r="C41" s="33">
        <v>2</v>
      </c>
      <c r="D41" s="34" t="s">
        <v>71</v>
      </c>
      <c r="E41" s="34" t="s">
        <v>72</v>
      </c>
      <c r="F41" s="33" t="s">
        <v>64</v>
      </c>
      <c r="G41" s="67" t="s">
        <v>12</v>
      </c>
      <c r="H41" s="33" t="s">
        <v>52</v>
      </c>
      <c r="I41" s="35">
        <v>46160</v>
      </c>
      <c r="J41" s="35">
        <v>46166</v>
      </c>
      <c r="K41" s="36">
        <v>2</v>
      </c>
      <c r="L41" s="37">
        <v>46162</v>
      </c>
      <c r="M41" s="37">
        <v>46164</v>
      </c>
      <c r="N41" s="38"/>
      <c r="O41" s="25"/>
      <c r="P41" s="25"/>
    </row>
    <row r="42" spans="1:16" ht="17.25" customHeight="1" x14ac:dyDescent="0.2">
      <c r="A42" s="39"/>
      <c r="B42" s="32">
        <v>17</v>
      </c>
      <c r="C42" s="33">
        <v>2</v>
      </c>
      <c r="D42" s="34" t="s">
        <v>71</v>
      </c>
      <c r="E42" s="34" t="s">
        <v>73</v>
      </c>
      <c r="F42" s="33" t="s">
        <v>64</v>
      </c>
      <c r="G42" s="67" t="s">
        <v>17</v>
      </c>
      <c r="H42" s="33" t="s">
        <v>52</v>
      </c>
      <c r="I42" s="35">
        <v>46160</v>
      </c>
      <c r="J42" s="35">
        <v>46166</v>
      </c>
      <c r="K42" s="36">
        <v>7</v>
      </c>
      <c r="L42" s="37">
        <v>46162</v>
      </c>
      <c r="M42" s="37">
        <v>46164</v>
      </c>
      <c r="N42" s="38"/>
      <c r="O42" s="25"/>
      <c r="P42" s="25"/>
    </row>
    <row r="43" spans="1:16" ht="17.25" customHeight="1" x14ac:dyDescent="0.2">
      <c r="A43" s="39"/>
      <c r="B43" s="32">
        <v>18</v>
      </c>
      <c r="C43" s="33">
        <v>2</v>
      </c>
      <c r="D43" s="34" t="s">
        <v>71</v>
      </c>
      <c r="E43" s="34" t="s">
        <v>74</v>
      </c>
      <c r="F43" s="33" t="s">
        <v>64</v>
      </c>
      <c r="G43" s="67" t="s">
        <v>21</v>
      </c>
      <c r="H43" s="33" t="s">
        <v>52</v>
      </c>
      <c r="I43" s="35">
        <v>46160</v>
      </c>
      <c r="J43" s="35">
        <v>46166</v>
      </c>
      <c r="K43" s="36">
        <v>4</v>
      </c>
      <c r="L43" s="37">
        <v>46162</v>
      </c>
      <c r="M43" s="37">
        <v>46164</v>
      </c>
      <c r="N43" s="38"/>
      <c r="O43" s="25"/>
      <c r="P43" s="25"/>
    </row>
    <row r="44" spans="1:16" ht="17.25" customHeight="1" x14ac:dyDescent="0.2">
      <c r="A44" s="39"/>
      <c r="B44" s="32">
        <v>19</v>
      </c>
      <c r="C44" s="33">
        <v>2</v>
      </c>
      <c r="D44" s="34" t="s">
        <v>66</v>
      </c>
      <c r="E44" s="34" t="s">
        <v>75</v>
      </c>
      <c r="F44" s="33" t="s">
        <v>64</v>
      </c>
      <c r="G44" s="67" t="s">
        <v>15</v>
      </c>
      <c r="H44" s="33" t="s">
        <v>52</v>
      </c>
      <c r="I44" s="35">
        <v>46160</v>
      </c>
      <c r="J44" s="35">
        <v>46166</v>
      </c>
      <c r="K44" s="36">
        <v>5</v>
      </c>
      <c r="L44" s="37">
        <v>46162</v>
      </c>
      <c r="M44" s="37">
        <v>46164</v>
      </c>
      <c r="N44" s="38"/>
      <c r="O44" s="25"/>
      <c r="P44" s="25"/>
    </row>
    <row r="45" spans="1:16" ht="17.25" customHeight="1" x14ac:dyDescent="0.2">
      <c r="A45" s="39"/>
      <c r="B45" s="32">
        <v>20</v>
      </c>
      <c r="C45" s="33">
        <v>2</v>
      </c>
      <c r="D45" s="34" t="s">
        <v>66</v>
      </c>
      <c r="E45" s="34" t="s">
        <v>76</v>
      </c>
      <c r="F45" s="33" t="s">
        <v>64</v>
      </c>
      <c r="G45" s="67" t="s">
        <v>19</v>
      </c>
      <c r="H45" s="33" t="s">
        <v>52</v>
      </c>
      <c r="I45" s="35">
        <v>46160</v>
      </c>
      <c r="J45" s="35">
        <v>46166</v>
      </c>
      <c r="K45" s="36">
        <v>7</v>
      </c>
      <c r="L45" s="37">
        <v>46162</v>
      </c>
      <c r="M45" s="37">
        <v>46164</v>
      </c>
      <c r="N45" s="38"/>
      <c r="O45" s="25"/>
      <c r="P45" s="25"/>
    </row>
    <row r="46" spans="1:16" ht="17.25" customHeight="1" x14ac:dyDescent="0.2">
      <c r="A46" s="39"/>
      <c r="B46" s="32">
        <v>21</v>
      </c>
      <c r="C46" s="33">
        <v>2</v>
      </c>
      <c r="D46" s="34" t="s">
        <v>71</v>
      </c>
      <c r="E46" s="34" t="s">
        <v>77</v>
      </c>
      <c r="F46" s="33" t="s">
        <v>64</v>
      </c>
      <c r="G46" s="67" t="s">
        <v>12</v>
      </c>
      <c r="H46" s="33" t="s">
        <v>52</v>
      </c>
      <c r="I46" s="35">
        <v>46160</v>
      </c>
      <c r="J46" s="35">
        <v>46166</v>
      </c>
      <c r="K46" s="36">
        <v>6</v>
      </c>
      <c r="L46" s="37">
        <v>46162</v>
      </c>
      <c r="M46" s="37">
        <v>46164</v>
      </c>
      <c r="N46" s="38"/>
      <c r="O46" s="25"/>
      <c r="P46" s="25"/>
    </row>
    <row r="47" spans="1:16" ht="17.25" customHeight="1" x14ac:dyDescent="0.2">
      <c r="A47" s="39"/>
      <c r="B47" s="32">
        <v>22</v>
      </c>
      <c r="C47" s="33">
        <v>2</v>
      </c>
      <c r="D47" s="34" t="s">
        <v>71</v>
      </c>
      <c r="E47" s="34" t="s">
        <v>78</v>
      </c>
      <c r="F47" s="33" t="s">
        <v>64</v>
      </c>
      <c r="G47" s="67" t="s">
        <v>17</v>
      </c>
      <c r="H47" s="33" t="s">
        <v>52</v>
      </c>
      <c r="I47" s="35">
        <v>46160</v>
      </c>
      <c r="J47" s="35">
        <v>46166</v>
      </c>
      <c r="K47" s="36">
        <v>7</v>
      </c>
      <c r="L47" s="37">
        <v>46162</v>
      </c>
      <c r="M47" s="37">
        <v>46164</v>
      </c>
      <c r="N47" s="38"/>
      <c r="O47" s="25"/>
      <c r="P47" s="25"/>
    </row>
    <row r="48" spans="1:16" ht="17.25" customHeight="1" x14ac:dyDescent="0.2">
      <c r="A48" s="39"/>
      <c r="B48" s="32">
        <v>23</v>
      </c>
      <c r="C48" s="33">
        <v>2</v>
      </c>
      <c r="D48" s="34" t="s">
        <v>71</v>
      </c>
      <c r="E48" s="34" t="s">
        <v>79</v>
      </c>
      <c r="F48" s="33" t="s">
        <v>64</v>
      </c>
      <c r="G48" s="67" t="s">
        <v>21</v>
      </c>
      <c r="H48" s="33" t="s">
        <v>52</v>
      </c>
      <c r="I48" s="35">
        <v>46160</v>
      </c>
      <c r="J48" s="35">
        <v>46166</v>
      </c>
      <c r="K48" s="36">
        <v>6</v>
      </c>
      <c r="L48" s="37">
        <v>46162</v>
      </c>
      <c r="M48" s="37">
        <v>46164</v>
      </c>
      <c r="N48" s="38"/>
      <c r="O48" s="25"/>
      <c r="P48" s="25"/>
    </row>
    <row r="49" spans="1:16" ht="17.25" customHeight="1" x14ac:dyDescent="0.2">
      <c r="A49" s="39"/>
      <c r="B49" s="32">
        <v>24</v>
      </c>
      <c r="C49" s="41">
        <v>2</v>
      </c>
      <c r="D49" s="38" t="s">
        <v>62</v>
      </c>
      <c r="E49" s="42" t="s">
        <v>80</v>
      </c>
      <c r="F49" s="32" t="s">
        <v>64</v>
      </c>
      <c r="G49" s="67" t="s">
        <v>15</v>
      </c>
      <c r="H49" s="32" t="s">
        <v>52</v>
      </c>
      <c r="I49" s="35">
        <v>46161</v>
      </c>
      <c r="J49" s="35">
        <v>46167</v>
      </c>
      <c r="K49" s="36">
        <v>5</v>
      </c>
      <c r="L49" s="37">
        <v>46163</v>
      </c>
      <c r="M49" s="37">
        <v>46165</v>
      </c>
      <c r="N49" s="42"/>
      <c r="O49" s="25"/>
      <c r="P49" s="25"/>
    </row>
    <row r="50" spans="1:16" ht="17.25" customHeight="1" x14ac:dyDescent="0.2">
      <c r="A50" s="39"/>
      <c r="B50" s="32">
        <v>25</v>
      </c>
      <c r="C50" s="41">
        <v>2</v>
      </c>
      <c r="D50" s="38" t="s">
        <v>62</v>
      </c>
      <c r="E50" s="42" t="s">
        <v>81</v>
      </c>
      <c r="F50" s="32" t="s">
        <v>64</v>
      </c>
      <c r="G50" s="67" t="s">
        <v>19</v>
      </c>
      <c r="H50" s="32" t="s">
        <v>52</v>
      </c>
      <c r="I50" s="35">
        <v>46162</v>
      </c>
      <c r="J50" s="35">
        <v>46168</v>
      </c>
      <c r="K50" s="36">
        <v>7</v>
      </c>
      <c r="L50" s="37">
        <v>46164</v>
      </c>
      <c r="M50" s="37">
        <v>46166</v>
      </c>
      <c r="N50" s="42"/>
      <c r="O50" s="25"/>
      <c r="P50" s="25"/>
    </row>
    <row r="51" spans="1:16" ht="17.25" customHeight="1" x14ac:dyDescent="0.2">
      <c r="A51" s="39"/>
      <c r="B51" s="32">
        <v>26</v>
      </c>
      <c r="C51" s="41">
        <v>2</v>
      </c>
      <c r="D51" s="38" t="s">
        <v>62</v>
      </c>
      <c r="E51" s="42" t="s">
        <v>82</v>
      </c>
      <c r="F51" s="32" t="s">
        <v>64</v>
      </c>
      <c r="G51" s="67" t="s">
        <v>12</v>
      </c>
      <c r="H51" s="32" t="s">
        <v>52</v>
      </c>
      <c r="I51" s="35">
        <v>46163</v>
      </c>
      <c r="J51" s="35">
        <v>46169</v>
      </c>
      <c r="K51" s="36">
        <v>4</v>
      </c>
      <c r="L51" s="37">
        <v>46165</v>
      </c>
      <c r="M51" s="37">
        <v>46167</v>
      </c>
      <c r="N51" s="42"/>
      <c r="O51" s="25"/>
      <c r="P51" s="25"/>
    </row>
    <row r="52" spans="1:16" ht="17.25" customHeight="1" x14ac:dyDescent="0.2">
      <c r="A52" s="39"/>
      <c r="B52" s="32">
        <v>27</v>
      </c>
      <c r="C52" s="41">
        <v>2</v>
      </c>
      <c r="D52" s="38" t="s">
        <v>62</v>
      </c>
      <c r="E52" s="42" t="s">
        <v>83</v>
      </c>
      <c r="F52" s="32" t="s">
        <v>64</v>
      </c>
      <c r="G52" s="67" t="s">
        <v>17</v>
      </c>
      <c r="H52" s="32" t="s">
        <v>52</v>
      </c>
      <c r="I52" s="35">
        <v>46164</v>
      </c>
      <c r="J52" s="35">
        <v>46170</v>
      </c>
      <c r="K52" s="36">
        <v>4</v>
      </c>
      <c r="L52" s="37">
        <v>46166</v>
      </c>
      <c r="M52" s="37">
        <v>46168</v>
      </c>
      <c r="N52" s="42"/>
      <c r="O52" s="25"/>
      <c r="P52" s="25"/>
    </row>
    <row r="53" spans="1:16" ht="17.25" customHeight="1" x14ac:dyDescent="0.2">
      <c r="A53" s="39"/>
      <c r="B53" s="32">
        <v>28</v>
      </c>
      <c r="C53" s="41">
        <v>2</v>
      </c>
      <c r="D53" s="38" t="s">
        <v>62</v>
      </c>
      <c r="E53" s="42" t="s">
        <v>84</v>
      </c>
      <c r="F53" s="32" t="s">
        <v>64</v>
      </c>
      <c r="G53" s="67" t="s">
        <v>21</v>
      </c>
      <c r="H53" s="32" t="s">
        <v>52</v>
      </c>
      <c r="I53" s="35">
        <v>46165</v>
      </c>
      <c r="J53" s="35">
        <v>46171</v>
      </c>
      <c r="K53" s="36">
        <v>3</v>
      </c>
      <c r="L53" s="37">
        <v>46167</v>
      </c>
      <c r="M53" s="37">
        <v>46169</v>
      </c>
      <c r="N53" s="42"/>
      <c r="O53" s="25"/>
      <c r="P53" s="25"/>
    </row>
    <row r="54" spans="1:16" ht="17.25" customHeight="1" x14ac:dyDescent="0.2">
      <c r="A54" s="39"/>
      <c r="B54" s="32">
        <v>29</v>
      </c>
      <c r="C54" s="41">
        <v>2</v>
      </c>
      <c r="D54" s="38" t="s">
        <v>62</v>
      </c>
      <c r="E54" s="42" t="s">
        <v>85</v>
      </c>
      <c r="F54" s="32" t="s">
        <v>64</v>
      </c>
      <c r="G54" s="67" t="s">
        <v>15</v>
      </c>
      <c r="H54" s="32" t="s">
        <v>52</v>
      </c>
      <c r="I54" s="35">
        <v>46166</v>
      </c>
      <c r="J54" s="35">
        <v>46172</v>
      </c>
      <c r="K54" s="36">
        <v>5</v>
      </c>
      <c r="L54" s="37">
        <v>46168</v>
      </c>
      <c r="M54" s="37">
        <v>46170</v>
      </c>
      <c r="N54" s="42"/>
      <c r="O54" s="25"/>
      <c r="P54" s="25"/>
    </row>
    <row r="55" spans="1:16" ht="17.25" customHeight="1" x14ac:dyDescent="0.2">
      <c r="A55" s="39"/>
      <c r="B55" s="32">
        <v>30</v>
      </c>
      <c r="C55" s="41">
        <v>2</v>
      </c>
      <c r="D55" s="38" t="s">
        <v>86</v>
      </c>
      <c r="E55" s="42" t="s">
        <v>87</v>
      </c>
      <c r="F55" s="32" t="s">
        <v>64</v>
      </c>
      <c r="G55" s="67" t="s">
        <v>19</v>
      </c>
      <c r="H55" s="32" t="s">
        <v>52</v>
      </c>
      <c r="I55" s="35">
        <v>46167</v>
      </c>
      <c r="J55" s="35">
        <v>46173</v>
      </c>
      <c r="K55" s="36">
        <v>16</v>
      </c>
      <c r="L55" s="37">
        <v>46169</v>
      </c>
      <c r="M55" s="37">
        <v>46171</v>
      </c>
      <c r="N55" s="42"/>
      <c r="O55" s="25"/>
      <c r="P55" s="25"/>
    </row>
    <row r="56" spans="1:16" ht="17.25" customHeight="1" x14ac:dyDescent="0.2">
      <c r="A56" s="39"/>
      <c r="B56" s="32">
        <v>31</v>
      </c>
      <c r="C56" s="41">
        <v>2</v>
      </c>
      <c r="D56" s="38" t="s">
        <v>49</v>
      </c>
      <c r="E56" s="42" t="s">
        <v>88</v>
      </c>
      <c r="F56" s="32" t="s">
        <v>51</v>
      </c>
      <c r="G56" s="67" t="s">
        <v>12</v>
      </c>
      <c r="H56" s="32" t="s">
        <v>52</v>
      </c>
      <c r="I56" s="35">
        <v>46168</v>
      </c>
      <c r="J56" s="35">
        <v>46174</v>
      </c>
      <c r="K56" s="36">
        <v>6</v>
      </c>
      <c r="L56" s="37">
        <v>46170</v>
      </c>
      <c r="M56" s="37">
        <v>46172</v>
      </c>
      <c r="N56" s="42"/>
      <c r="O56" s="25"/>
      <c r="P56" s="25"/>
    </row>
    <row r="57" spans="1:16" ht="17.25" customHeight="1" x14ac:dyDescent="0.2">
      <c r="A57" s="39"/>
      <c r="B57" s="32">
        <v>32</v>
      </c>
      <c r="C57" s="41">
        <v>2</v>
      </c>
      <c r="D57" s="38" t="s">
        <v>49</v>
      </c>
      <c r="E57" s="42" t="s">
        <v>89</v>
      </c>
      <c r="F57" s="32" t="s">
        <v>51</v>
      </c>
      <c r="G57" s="67" t="s">
        <v>17</v>
      </c>
      <c r="H57" s="32" t="s">
        <v>52</v>
      </c>
      <c r="I57" s="35">
        <v>46169</v>
      </c>
      <c r="J57" s="35">
        <v>46175</v>
      </c>
      <c r="K57" s="36">
        <v>7</v>
      </c>
      <c r="L57" s="37">
        <v>46171</v>
      </c>
      <c r="M57" s="37">
        <v>46173</v>
      </c>
      <c r="N57" s="42"/>
      <c r="O57" s="25"/>
      <c r="P57" s="25"/>
    </row>
    <row r="58" spans="1:16" ht="17.25" customHeight="1" x14ac:dyDescent="0.2">
      <c r="A58" s="25"/>
      <c r="B58" s="32">
        <v>33</v>
      </c>
      <c r="C58" s="32">
        <v>3</v>
      </c>
      <c r="D58" s="34" t="s">
        <v>49</v>
      </c>
      <c r="E58" s="34" t="s">
        <v>90</v>
      </c>
      <c r="F58" s="33" t="s">
        <v>51</v>
      </c>
      <c r="G58" s="67" t="s">
        <v>21</v>
      </c>
      <c r="H58" s="33" t="s">
        <v>52</v>
      </c>
      <c r="I58" s="35">
        <v>46167</v>
      </c>
      <c r="J58" s="35">
        <v>46173</v>
      </c>
      <c r="K58" s="36">
        <v>3</v>
      </c>
      <c r="L58" s="43">
        <v>46170</v>
      </c>
      <c r="M58" s="37">
        <v>46172</v>
      </c>
      <c r="N58" s="38"/>
      <c r="O58" s="25"/>
      <c r="P58" s="25"/>
    </row>
    <row r="59" spans="1:16" ht="17.25" customHeight="1" x14ac:dyDescent="0.2">
      <c r="A59" s="25"/>
      <c r="B59" s="32">
        <v>34</v>
      </c>
      <c r="C59" s="32">
        <v>3</v>
      </c>
      <c r="D59" s="38" t="s">
        <v>49</v>
      </c>
      <c r="E59" s="40" t="s">
        <v>91</v>
      </c>
      <c r="F59" s="32" t="s">
        <v>54</v>
      </c>
      <c r="G59" s="67" t="s">
        <v>15</v>
      </c>
      <c r="H59" s="33" t="s">
        <v>52</v>
      </c>
      <c r="I59" s="35">
        <v>46167</v>
      </c>
      <c r="J59" s="35">
        <v>46173</v>
      </c>
      <c r="K59" s="36">
        <v>10</v>
      </c>
      <c r="L59" s="43">
        <v>46170</v>
      </c>
      <c r="M59" s="37">
        <v>46172</v>
      </c>
      <c r="N59" s="38"/>
      <c r="O59" s="25"/>
      <c r="P59" s="25"/>
    </row>
    <row r="60" spans="1:16" ht="17.25" customHeight="1" x14ac:dyDescent="0.2">
      <c r="A60" s="25"/>
      <c r="B60" s="32">
        <v>35</v>
      </c>
      <c r="C60" s="32">
        <v>3</v>
      </c>
      <c r="D60" s="38" t="s">
        <v>92</v>
      </c>
      <c r="E60" s="44" t="s">
        <v>93</v>
      </c>
      <c r="F60" s="32" t="s">
        <v>54</v>
      </c>
      <c r="G60" s="67" t="s">
        <v>19</v>
      </c>
      <c r="H60" s="32" t="s">
        <v>52</v>
      </c>
      <c r="I60" s="35">
        <v>46167</v>
      </c>
      <c r="J60" s="35">
        <v>46173</v>
      </c>
      <c r="K60" s="36">
        <v>7</v>
      </c>
      <c r="L60" s="43">
        <v>46170</v>
      </c>
      <c r="M60" s="37">
        <v>46172</v>
      </c>
      <c r="N60" s="38"/>
      <c r="O60" s="25"/>
      <c r="P60" s="25"/>
    </row>
    <row r="61" spans="1:16" ht="17.25" customHeight="1" x14ac:dyDescent="0.2">
      <c r="A61" s="25"/>
      <c r="B61" s="32">
        <v>36</v>
      </c>
      <c r="C61" s="32">
        <v>3</v>
      </c>
      <c r="D61" s="38" t="s">
        <v>92</v>
      </c>
      <c r="E61" s="44" t="s">
        <v>94</v>
      </c>
      <c r="F61" s="32" t="s">
        <v>51</v>
      </c>
      <c r="G61" s="67" t="s">
        <v>12</v>
      </c>
      <c r="H61" s="32" t="s">
        <v>52</v>
      </c>
      <c r="I61" s="35">
        <v>46167</v>
      </c>
      <c r="J61" s="35">
        <v>46173</v>
      </c>
      <c r="K61" s="36">
        <v>4</v>
      </c>
      <c r="L61" s="43">
        <v>46170</v>
      </c>
      <c r="M61" s="37">
        <v>46172</v>
      </c>
      <c r="N61" s="38"/>
      <c r="O61" s="25"/>
      <c r="P61" s="25"/>
    </row>
    <row r="62" spans="1:16" ht="17.25" customHeight="1" x14ac:dyDescent="0.2">
      <c r="A62" s="25"/>
      <c r="B62" s="32">
        <v>37</v>
      </c>
      <c r="C62" s="32">
        <v>3</v>
      </c>
      <c r="D62" s="38" t="s">
        <v>92</v>
      </c>
      <c r="E62" s="44" t="s">
        <v>95</v>
      </c>
      <c r="F62" s="32" t="s">
        <v>51</v>
      </c>
      <c r="G62" s="67" t="s">
        <v>17</v>
      </c>
      <c r="H62" s="32" t="s">
        <v>52</v>
      </c>
      <c r="I62" s="35">
        <v>46167</v>
      </c>
      <c r="J62" s="35">
        <v>46173</v>
      </c>
      <c r="K62" s="36">
        <v>4</v>
      </c>
      <c r="L62" s="43">
        <v>46170</v>
      </c>
      <c r="M62" s="37">
        <v>46172</v>
      </c>
      <c r="N62" s="38"/>
      <c r="O62" s="25"/>
      <c r="P62" s="25"/>
    </row>
    <row r="63" spans="1:16" ht="17.25" customHeight="1" x14ac:dyDescent="0.2">
      <c r="A63" s="25"/>
      <c r="B63" s="32">
        <v>38</v>
      </c>
      <c r="C63" s="32">
        <v>3</v>
      </c>
      <c r="D63" s="38" t="s">
        <v>92</v>
      </c>
      <c r="E63" s="44" t="s">
        <v>96</v>
      </c>
      <c r="F63" s="32" t="s">
        <v>64</v>
      </c>
      <c r="G63" s="67" t="s">
        <v>21</v>
      </c>
      <c r="H63" s="32" t="s">
        <v>52</v>
      </c>
      <c r="I63" s="35">
        <v>46167</v>
      </c>
      <c r="J63" s="35">
        <v>46173</v>
      </c>
      <c r="K63" s="36">
        <v>3</v>
      </c>
      <c r="L63" s="43">
        <v>46170</v>
      </c>
      <c r="M63" s="37">
        <v>46172</v>
      </c>
      <c r="N63" s="38"/>
      <c r="O63" s="25"/>
      <c r="P63" s="25"/>
    </row>
    <row r="64" spans="1:16" ht="17.25" customHeight="1" x14ac:dyDescent="0.2">
      <c r="A64" s="25"/>
      <c r="B64" s="32">
        <v>39</v>
      </c>
      <c r="C64" s="32">
        <v>3</v>
      </c>
      <c r="D64" s="38" t="s">
        <v>92</v>
      </c>
      <c r="E64" s="44" t="s">
        <v>97</v>
      </c>
      <c r="F64" s="32" t="s">
        <v>64</v>
      </c>
      <c r="G64" s="67" t="s">
        <v>15</v>
      </c>
      <c r="H64" s="32" t="s">
        <v>52</v>
      </c>
      <c r="I64" s="35">
        <v>46167</v>
      </c>
      <c r="J64" s="35">
        <v>46173</v>
      </c>
      <c r="K64" s="36">
        <v>5</v>
      </c>
      <c r="L64" s="43">
        <v>46170</v>
      </c>
      <c r="M64" s="37">
        <v>46172</v>
      </c>
      <c r="N64" s="38"/>
      <c r="O64" s="25"/>
      <c r="P64" s="25"/>
    </row>
    <row r="65" spans="1:16" ht="17.25" customHeight="1" x14ac:dyDescent="0.2">
      <c r="A65" s="25"/>
      <c r="B65" s="32">
        <v>40</v>
      </c>
      <c r="C65" s="32">
        <v>3</v>
      </c>
      <c r="D65" s="38" t="s">
        <v>92</v>
      </c>
      <c r="E65" s="44" t="s">
        <v>98</v>
      </c>
      <c r="F65" s="32" t="s">
        <v>64</v>
      </c>
      <c r="G65" s="67" t="s">
        <v>19</v>
      </c>
      <c r="H65" s="32" t="s">
        <v>52</v>
      </c>
      <c r="I65" s="35">
        <v>46167</v>
      </c>
      <c r="J65" s="35">
        <v>46173</v>
      </c>
      <c r="K65" s="36">
        <v>7</v>
      </c>
      <c r="L65" s="43">
        <v>46170</v>
      </c>
      <c r="M65" s="37">
        <v>46172</v>
      </c>
      <c r="N65" s="38"/>
      <c r="O65" s="25"/>
      <c r="P65" s="25"/>
    </row>
    <row r="66" spans="1:16" ht="17.25" customHeight="1" x14ac:dyDescent="0.2">
      <c r="A66" s="25"/>
      <c r="B66" s="32">
        <v>41</v>
      </c>
      <c r="C66" s="32">
        <v>3</v>
      </c>
      <c r="D66" s="38" t="s">
        <v>92</v>
      </c>
      <c r="E66" s="44" t="s">
        <v>99</v>
      </c>
      <c r="F66" s="32" t="s">
        <v>64</v>
      </c>
      <c r="G66" s="67" t="s">
        <v>12</v>
      </c>
      <c r="H66" s="32" t="s">
        <v>52</v>
      </c>
      <c r="I66" s="35">
        <v>46167</v>
      </c>
      <c r="J66" s="35">
        <v>46173</v>
      </c>
      <c r="K66" s="36">
        <v>4</v>
      </c>
      <c r="L66" s="43">
        <v>46170</v>
      </c>
      <c r="M66" s="37">
        <v>46172</v>
      </c>
      <c r="N66" s="38"/>
      <c r="O66" s="25"/>
      <c r="P66" s="25"/>
    </row>
    <row r="67" spans="1:16" ht="17.25" customHeight="1" x14ac:dyDescent="0.2">
      <c r="A67" s="25"/>
      <c r="B67" s="32">
        <v>42</v>
      </c>
      <c r="C67" s="32">
        <v>3</v>
      </c>
      <c r="D67" s="38" t="s">
        <v>92</v>
      </c>
      <c r="E67" s="44" t="s">
        <v>100</v>
      </c>
      <c r="F67" s="32" t="s">
        <v>64</v>
      </c>
      <c r="G67" s="67" t="s">
        <v>17</v>
      </c>
      <c r="H67" s="32" t="s">
        <v>52</v>
      </c>
      <c r="I67" s="35">
        <v>46167</v>
      </c>
      <c r="J67" s="35">
        <v>46173</v>
      </c>
      <c r="K67" s="36">
        <v>4</v>
      </c>
      <c r="L67" s="43">
        <v>46170</v>
      </c>
      <c r="M67" s="37">
        <v>46172</v>
      </c>
      <c r="N67" s="38"/>
      <c r="O67" s="25"/>
      <c r="P67" s="25"/>
    </row>
    <row r="68" spans="1:16" ht="17.25" customHeight="1" x14ac:dyDescent="0.2">
      <c r="A68" s="25"/>
      <c r="B68" s="32">
        <v>43</v>
      </c>
      <c r="C68" s="32">
        <v>3</v>
      </c>
      <c r="D68" s="38" t="s">
        <v>92</v>
      </c>
      <c r="E68" s="44" t="s">
        <v>101</v>
      </c>
      <c r="F68" s="32" t="s">
        <v>64</v>
      </c>
      <c r="G68" s="67" t="s">
        <v>21</v>
      </c>
      <c r="H68" s="32" t="s">
        <v>52</v>
      </c>
      <c r="I68" s="35">
        <v>46167</v>
      </c>
      <c r="J68" s="35">
        <v>46173</v>
      </c>
      <c r="K68" s="36">
        <v>3</v>
      </c>
      <c r="L68" s="43">
        <v>46170</v>
      </c>
      <c r="M68" s="37">
        <v>46172</v>
      </c>
      <c r="N68" s="38"/>
      <c r="O68" s="25"/>
      <c r="P68" s="25"/>
    </row>
    <row r="69" spans="1:16" ht="17.25" customHeight="1" x14ac:dyDescent="0.2">
      <c r="A69" s="25"/>
      <c r="B69" s="32">
        <v>44</v>
      </c>
      <c r="C69" s="32">
        <v>3</v>
      </c>
      <c r="D69" s="38" t="s">
        <v>92</v>
      </c>
      <c r="E69" s="44" t="s">
        <v>102</v>
      </c>
      <c r="F69" s="32" t="s">
        <v>64</v>
      </c>
      <c r="G69" s="67" t="s">
        <v>15</v>
      </c>
      <c r="H69" s="32" t="s">
        <v>52</v>
      </c>
      <c r="I69" s="35">
        <v>46167</v>
      </c>
      <c r="J69" s="35">
        <v>46173</v>
      </c>
      <c r="K69" s="36">
        <v>5</v>
      </c>
      <c r="L69" s="43">
        <v>46170</v>
      </c>
      <c r="M69" s="37">
        <v>46172</v>
      </c>
      <c r="N69" s="38"/>
      <c r="O69" s="25"/>
      <c r="P69" s="25"/>
    </row>
    <row r="70" spans="1:16" ht="17.25" customHeight="1" x14ac:dyDescent="0.2">
      <c r="A70" s="25"/>
      <c r="B70" s="32">
        <v>45</v>
      </c>
      <c r="C70" s="32">
        <v>3</v>
      </c>
      <c r="D70" s="38" t="s">
        <v>92</v>
      </c>
      <c r="E70" s="44" t="s">
        <v>103</v>
      </c>
      <c r="F70" s="32" t="s">
        <v>64</v>
      </c>
      <c r="G70" s="67" t="s">
        <v>19</v>
      </c>
      <c r="H70" s="32" t="s">
        <v>52</v>
      </c>
      <c r="I70" s="35">
        <v>46167</v>
      </c>
      <c r="J70" s="35">
        <v>46173</v>
      </c>
      <c r="K70" s="36">
        <v>7</v>
      </c>
      <c r="L70" s="43">
        <v>46170</v>
      </c>
      <c r="M70" s="37">
        <v>46172</v>
      </c>
      <c r="N70" s="38"/>
      <c r="O70" s="25"/>
      <c r="P70" s="25"/>
    </row>
    <row r="71" spans="1:16" ht="17.25" customHeight="1" x14ac:dyDescent="0.2">
      <c r="A71" s="25"/>
      <c r="B71" s="32">
        <v>46</v>
      </c>
      <c r="C71" s="32">
        <v>3</v>
      </c>
      <c r="D71" s="38" t="s">
        <v>92</v>
      </c>
      <c r="E71" s="44" t="s">
        <v>104</v>
      </c>
      <c r="F71" s="32" t="s">
        <v>64</v>
      </c>
      <c r="G71" s="67" t="s">
        <v>12</v>
      </c>
      <c r="H71" s="32" t="s">
        <v>52</v>
      </c>
      <c r="I71" s="35">
        <v>46167</v>
      </c>
      <c r="J71" s="35">
        <v>46173</v>
      </c>
      <c r="K71" s="36">
        <v>4</v>
      </c>
      <c r="L71" s="43">
        <v>46170</v>
      </c>
      <c r="M71" s="37">
        <v>46172</v>
      </c>
      <c r="N71" s="38"/>
      <c r="O71" s="25"/>
      <c r="P71" s="25"/>
    </row>
    <row r="72" spans="1:16" ht="17.25" customHeight="1" x14ac:dyDescent="0.2">
      <c r="A72" s="25"/>
      <c r="B72" s="32">
        <v>47</v>
      </c>
      <c r="C72" s="32">
        <v>3</v>
      </c>
      <c r="D72" s="38" t="s">
        <v>92</v>
      </c>
      <c r="E72" s="44" t="s">
        <v>105</v>
      </c>
      <c r="F72" s="32" t="s">
        <v>64</v>
      </c>
      <c r="G72" s="67" t="s">
        <v>17</v>
      </c>
      <c r="H72" s="32" t="s">
        <v>52</v>
      </c>
      <c r="I72" s="35">
        <v>46167</v>
      </c>
      <c r="J72" s="35">
        <v>46173</v>
      </c>
      <c r="K72" s="36">
        <v>4</v>
      </c>
      <c r="L72" s="43">
        <v>46170</v>
      </c>
      <c r="M72" s="37">
        <v>46172</v>
      </c>
      <c r="N72" s="38"/>
      <c r="O72" s="25"/>
      <c r="P72" s="25"/>
    </row>
    <row r="73" spans="1:16" ht="17.25" customHeight="1" x14ac:dyDescent="0.2">
      <c r="A73" s="25"/>
      <c r="B73" s="32">
        <v>48</v>
      </c>
      <c r="C73" s="32">
        <v>3</v>
      </c>
      <c r="D73" s="38" t="s">
        <v>92</v>
      </c>
      <c r="E73" s="44" t="s">
        <v>106</v>
      </c>
      <c r="F73" s="32" t="s">
        <v>64</v>
      </c>
      <c r="G73" s="67" t="s">
        <v>21</v>
      </c>
      <c r="H73" s="32" t="s">
        <v>52</v>
      </c>
      <c r="I73" s="35">
        <v>46167</v>
      </c>
      <c r="J73" s="35">
        <v>46173</v>
      </c>
      <c r="K73" s="36">
        <v>3</v>
      </c>
      <c r="L73" s="43">
        <v>46170</v>
      </c>
      <c r="M73" s="37">
        <v>46172</v>
      </c>
      <c r="N73" s="38"/>
      <c r="O73" s="25"/>
      <c r="P73" s="25"/>
    </row>
    <row r="74" spans="1:16" ht="17.25" customHeight="1" x14ac:dyDescent="0.2">
      <c r="A74" s="25"/>
      <c r="B74" s="32">
        <v>49</v>
      </c>
      <c r="C74" s="32">
        <v>3</v>
      </c>
      <c r="D74" s="38" t="s">
        <v>92</v>
      </c>
      <c r="E74" s="44" t="s">
        <v>107</v>
      </c>
      <c r="F74" s="32" t="s">
        <v>64</v>
      </c>
      <c r="G74" s="67" t="s">
        <v>15</v>
      </c>
      <c r="H74" s="32" t="s">
        <v>52</v>
      </c>
      <c r="I74" s="35">
        <v>46167</v>
      </c>
      <c r="J74" s="35">
        <v>46173</v>
      </c>
      <c r="K74" s="36">
        <v>5</v>
      </c>
      <c r="L74" s="43">
        <v>46170</v>
      </c>
      <c r="M74" s="37">
        <v>46172</v>
      </c>
      <c r="N74" s="38"/>
      <c r="O74" s="25"/>
      <c r="P74" s="25"/>
    </row>
    <row r="75" spans="1:16" ht="17.25" customHeight="1" x14ac:dyDescent="0.2">
      <c r="A75" s="25"/>
      <c r="B75" s="32">
        <v>50</v>
      </c>
      <c r="C75" s="32">
        <v>3</v>
      </c>
      <c r="D75" s="38" t="s">
        <v>92</v>
      </c>
      <c r="E75" s="44" t="s">
        <v>108</v>
      </c>
      <c r="F75" s="32" t="s">
        <v>64</v>
      </c>
      <c r="G75" s="67" t="s">
        <v>19</v>
      </c>
      <c r="H75" s="32" t="s">
        <v>52</v>
      </c>
      <c r="I75" s="35">
        <v>46167</v>
      </c>
      <c r="J75" s="35">
        <v>46173</v>
      </c>
      <c r="K75" s="36">
        <v>7</v>
      </c>
      <c r="L75" s="43">
        <v>46170</v>
      </c>
      <c r="M75" s="37">
        <v>46172</v>
      </c>
      <c r="N75" s="38"/>
      <c r="O75" s="25"/>
      <c r="P75" s="25"/>
    </row>
    <row r="76" spans="1:16" ht="17.25" customHeight="1" x14ac:dyDescent="0.2">
      <c r="A76" s="25"/>
      <c r="B76" s="32">
        <v>51</v>
      </c>
      <c r="C76" s="32">
        <v>3</v>
      </c>
      <c r="D76" s="38" t="s">
        <v>92</v>
      </c>
      <c r="E76" s="44" t="s">
        <v>109</v>
      </c>
      <c r="F76" s="32" t="s">
        <v>64</v>
      </c>
      <c r="G76" s="67" t="s">
        <v>12</v>
      </c>
      <c r="H76" s="32" t="s">
        <v>52</v>
      </c>
      <c r="I76" s="35">
        <v>46167</v>
      </c>
      <c r="J76" s="35">
        <v>46173</v>
      </c>
      <c r="K76" s="36">
        <v>4</v>
      </c>
      <c r="L76" s="43">
        <v>46170</v>
      </c>
      <c r="M76" s="37">
        <v>46172</v>
      </c>
      <c r="N76" s="38"/>
      <c r="O76" s="25"/>
      <c r="P76" s="25"/>
    </row>
    <row r="77" spans="1:16" ht="17.25" customHeight="1" x14ac:dyDescent="0.2">
      <c r="A77" s="25"/>
      <c r="B77" s="32">
        <v>52</v>
      </c>
      <c r="C77" s="32">
        <v>3</v>
      </c>
      <c r="D77" s="38" t="s">
        <v>92</v>
      </c>
      <c r="E77" s="44" t="s">
        <v>110</v>
      </c>
      <c r="F77" s="32" t="s">
        <v>64</v>
      </c>
      <c r="G77" s="67" t="s">
        <v>17</v>
      </c>
      <c r="H77" s="32" t="s">
        <v>52</v>
      </c>
      <c r="I77" s="35">
        <v>46167</v>
      </c>
      <c r="J77" s="35">
        <v>46173</v>
      </c>
      <c r="K77" s="36">
        <v>4</v>
      </c>
      <c r="L77" s="43">
        <v>46170</v>
      </c>
      <c r="M77" s="37">
        <v>46172</v>
      </c>
      <c r="N77" s="38"/>
      <c r="O77" s="25"/>
      <c r="P77" s="25"/>
    </row>
    <row r="78" spans="1:16" ht="17.25" customHeight="1" x14ac:dyDescent="0.2">
      <c r="A78" s="25"/>
      <c r="B78" s="32">
        <v>53</v>
      </c>
      <c r="C78" s="32">
        <v>3</v>
      </c>
      <c r="D78" s="38" t="s">
        <v>92</v>
      </c>
      <c r="E78" s="44" t="s">
        <v>111</v>
      </c>
      <c r="F78" s="32" t="s">
        <v>64</v>
      </c>
      <c r="G78" s="67" t="s">
        <v>21</v>
      </c>
      <c r="H78" s="32" t="s">
        <v>52</v>
      </c>
      <c r="I78" s="35">
        <v>46167</v>
      </c>
      <c r="J78" s="35">
        <v>46173</v>
      </c>
      <c r="K78" s="36">
        <v>4</v>
      </c>
      <c r="L78" s="43">
        <v>46170</v>
      </c>
      <c r="M78" s="37">
        <v>46172</v>
      </c>
      <c r="N78" s="38"/>
      <c r="O78" s="25"/>
      <c r="P78" s="25"/>
    </row>
    <row r="79" spans="1:16" ht="17.25" customHeight="1" x14ac:dyDescent="0.2">
      <c r="A79" s="25"/>
      <c r="B79" s="32">
        <v>54</v>
      </c>
      <c r="C79" s="32">
        <v>3</v>
      </c>
      <c r="D79" s="38" t="s">
        <v>66</v>
      </c>
      <c r="E79" s="40" t="s">
        <v>112</v>
      </c>
      <c r="F79" s="32" t="s">
        <v>54</v>
      </c>
      <c r="G79" s="67" t="s">
        <v>15</v>
      </c>
      <c r="H79" s="32" t="s">
        <v>52</v>
      </c>
      <c r="I79" s="35">
        <v>46167</v>
      </c>
      <c r="J79" s="35">
        <v>46173</v>
      </c>
      <c r="K79" s="36">
        <v>6</v>
      </c>
      <c r="L79" s="43">
        <v>46170</v>
      </c>
      <c r="M79" s="37">
        <v>46172</v>
      </c>
      <c r="N79" s="38"/>
      <c r="O79" s="25"/>
      <c r="P79" s="25"/>
    </row>
    <row r="80" spans="1:16" ht="17.25" customHeight="1" x14ac:dyDescent="0.2">
      <c r="A80" s="25"/>
      <c r="B80" s="32">
        <v>55</v>
      </c>
      <c r="C80" s="32">
        <v>3</v>
      </c>
      <c r="D80" s="38" t="s">
        <v>66</v>
      </c>
      <c r="E80" s="40" t="s">
        <v>113</v>
      </c>
      <c r="F80" s="32" t="s">
        <v>51</v>
      </c>
      <c r="G80" s="67" t="s">
        <v>19</v>
      </c>
      <c r="H80" s="32" t="s">
        <v>52</v>
      </c>
      <c r="I80" s="35">
        <v>46167</v>
      </c>
      <c r="J80" s="35">
        <v>46173</v>
      </c>
      <c r="K80" s="36">
        <v>9</v>
      </c>
      <c r="L80" s="43">
        <v>46170</v>
      </c>
      <c r="M80" s="37">
        <v>46172</v>
      </c>
      <c r="N80" s="38"/>
      <c r="O80" s="25"/>
      <c r="P80" s="25"/>
    </row>
    <row r="81" spans="1:16" ht="17.25" customHeight="1" x14ac:dyDescent="0.2">
      <c r="A81" s="25"/>
      <c r="B81" s="32">
        <v>56</v>
      </c>
      <c r="C81" s="32">
        <v>3</v>
      </c>
      <c r="D81" s="38" t="s">
        <v>66</v>
      </c>
      <c r="E81" s="40" t="s">
        <v>114</v>
      </c>
      <c r="F81" s="32" t="s">
        <v>51</v>
      </c>
      <c r="G81" s="67" t="s">
        <v>12</v>
      </c>
      <c r="H81" s="32" t="s">
        <v>52</v>
      </c>
      <c r="I81" s="35">
        <v>46167</v>
      </c>
      <c r="J81" s="35">
        <v>46173</v>
      </c>
      <c r="K81" s="36">
        <v>4</v>
      </c>
      <c r="L81" s="43">
        <v>46170</v>
      </c>
      <c r="M81" s="37">
        <v>46172</v>
      </c>
      <c r="N81" s="38"/>
      <c r="O81" s="25"/>
      <c r="P81" s="25"/>
    </row>
    <row r="82" spans="1:16" ht="17.25" customHeight="1" x14ac:dyDescent="0.2">
      <c r="B82" s="32">
        <v>57</v>
      </c>
      <c r="C82" s="41">
        <v>3</v>
      </c>
      <c r="D82" s="38" t="s">
        <v>62</v>
      </c>
      <c r="E82" s="42" t="s">
        <v>115</v>
      </c>
      <c r="F82" s="32" t="s">
        <v>64</v>
      </c>
      <c r="G82" s="67" t="s">
        <v>17</v>
      </c>
      <c r="H82" s="32" t="s">
        <v>52</v>
      </c>
      <c r="I82" s="35">
        <v>46167</v>
      </c>
      <c r="J82" s="35">
        <v>46173</v>
      </c>
      <c r="K82" s="36">
        <v>4</v>
      </c>
      <c r="L82" s="43">
        <v>46170</v>
      </c>
      <c r="M82" s="37">
        <v>46172</v>
      </c>
      <c r="N82" s="42"/>
      <c r="O82" s="45"/>
    </row>
    <row r="83" spans="1:16" ht="17.25" customHeight="1" x14ac:dyDescent="0.2">
      <c r="B83" s="32">
        <v>58</v>
      </c>
      <c r="C83" s="41">
        <v>3</v>
      </c>
      <c r="D83" s="38" t="s">
        <v>116</v>
      </c>
      <c r="E83" s="42" t="s">
        <v>117</v>
      </c>
      <c r="F83" s="32" t="s">
        <v>64</v>
      </c>
      <c r="G83" s="67" t="s">
        <v>21</v>
      </c>
      <c r="H83" s="32" t="s">
        <v>52</v>
      </c>
      <c r="I83" s="35">
        <v>46167</v>
      </c>
      <c r="J83" s="35">
        <v>46173</v>
      </c>
      <c r="K83" s="36">
        <v>5</v>
      </c>
      <c r="L83" s="43">
        <v>46170</v>
      </c>
      <c r="M83" s="37">
        <v>46172</v>
      </c>
      <c r="N83" s="42"/>
      <c r="O83" s="45"/>
    </row>
    <row r="84" spans="1:16" ht="17.25" customHeight="1" x14ac:dyDescent="0.2">
      <c r="B84" s="32">
        <v>59</v>
      </c>
      <c r="C84" s="41">
        <v>3</v>
      </c>
      <c r="D84" s="38" t="s">
        <v>92</v>
      </c>
      <c r="E84" s="42" t="s">
        <v>118</v>
      </c>
      <c r="F84" s="32" t="s">
        <v>64</v>
      </c>
      <c r="G84" s="67" t="s">
        <v>15</v>
      </c>
      <c r="H84" s="32" t="s">
        <v>52</v>
      </c>
      <c r="I84" s="35">
        <v>46167</v>
      </c>
      <c r="J84" s="35">
        <v>46173</v>
      </c>
      <c r="K84" s="36">
        <v>5</v>
      </c>
      <c r="L84" s="43">
        <v>46170</v>
      </c>
      <c r="M84" s="37">
        <v>46172</v>
      </c>
      <c r="N84" s="42"/>
      <c r="O84" s="45"/>
    </row>
    <row r="85" spans="1:16" ht="17.25" customHeight="1" x14ac:dyDescent="0.2">
      <c r="B85" s="32">
        <v>60</v>
      </c>
      <c r="C85" s="41">
        <v>3</v>
      </c>
      <c r="D85" s="38" t="s">
        <v>86</v>
      </c>
      <c r="E85" s="42" t="s">
        <v>119</v>
      </c>
      <c r="F85" s="32" t="s">
        <v>64</v>
      </c>
      <c r="G85" s="67" t="s">
        <v>19</v>
      </c>
      <c r="H85" s="32" t="s">
        <v>52</v>
      </c>
      <c r="I85" s="35">
        <v>46167</v>
      </c>
      <c r="J85" s="35">
        <v>46173</v>
      </c>
      <c r="K85" s="36">
        <v>14</v>
      </c>
      <c r="L85" s="43">
        <v>46170</v>
      </c>
      <c r="M85" s="37">
        <v>46172</v>
      </c>
      <c r="N85" s="42"/>
      <c r="O85" s="45"/>
    </row>
    <row r="86" spans="1:16" ht="17.25" customHeight="1" x14ac:dyDescent="0.2">
      <c r="B86" s="32">
        <v>61</v>
      </c>
      <c r="C86" s="41">
        <v>3</v>
      </c>
      <c r="D86" s="38" t="s">
        <v>120</v>
      </c>
      <c r="E86" s="42" t="s">
        <v>121</v>
      </c>
      <c r="F86" s="32" t="s">
        <v>64</v>
      </c>
      <c r="G86" s="67" t="s">
        <v>12</v>
      </c>
      <c r="H86" s="32" t="s">
        <v>52</v>
      </c>
      <c r="I86" s="35">
        <v>46167</v>
      </c>
      <c r="J86" s="35">
        <v>46173</v>
      </c>
      <c r="K86" s="36">
        <v>4</v>
      </c>
      <c r="L86" s="43">
        <v>46170</v>
      </c>
      <c r="M86" s="37">
        <v>46172</v>
      </c>
      <c r="N86" s="42"/>
      <c r="O86" s="45"/>
    </row>
    <row r="87" spans="1:16" ht="17.25" customHeight="1" x14ac:dyDescent="0.2">
      <c r="B87" s="32">
        <v>62</v>
      </c>
      <c r="C87" s="41">
        <v>3</v>
      </c>
      <c r="D87" s="38" t="s">
        <v>120</v>
      </c>
      <c r="E87" s="42" t="s">
        <v>122</v>
      </c>
      <c r="F87" s="32" t="s">
        <v>64</v>
      </c>
      <c r="G87" s="67" t="s">
        <v>17</v>
      </c>
      <c r="H87" s="32" t="s">
        <v>52</v>
      </c>
      <c r="I87" s="35">
        <v>46167</v>
      </c>
      <c r="J87" s="35">
        <v>46173</v>
      </c>
      <c r="K87" s="36">
        <v>3</v>
      </c>
      <c r="L87" s="43">
        <v>46170</v>
      </c>
      <c r="M87" s="37">
        <v>46172</v>
      </c>
      <c r="N87" s="42"/>
      <c r="O87" s="45"/>
    </row>
    <row r="88" spans="1:16" ht="17.25" customHeight="1" x14ac:dyDescent="0.2">
      <c r="B88" s="32">
        <v>63</v>
      </c>
      <c r="C88" s="32">
        <v>4</v>
      </c>
      <c r="D88" s="38" t="s">
        <v>66</v>
      </c>
      <c r="E88" s="40" t="s">
        <v>123</v>
      </c>
      <c r="F88" s="32" t="s">
        <v>64</v>
      </c>
      <c r="G88" s="67" t="s">
        <v>21</v>
      </c>
      <c r="H88" s="32" t="s">
        <v>52</v>
      </c>
      <c r="I88" s="35">
        <v>46174</v>
      </c>
      <c r="J88" s="35">
        <v>46180</v>
      </c>
      <c r="K88" s="36">
        <v>5</v>
      </c>
      <c r="L88" s="43">
        <v>46175</v>
      </c>
      <c r="M88" s="43">
        <v>46178</v>
      </c>
      <c r="N88" s="38"/>
      <c r="O88" s="45"/>
    </row>
    <row r="89" spans="1:16" ht="17.25" customHeight="1" x14ac:dyDescent="0.2">
      <c r="B89" s="32">
        <v>64</v>
      </c>
      <c r="C89" s="32">
        <v>4</v>
      </c>
      <c r="D89" s="38" t="s">
        <v>66</v>
      </c>
      <c r="E89" s="40" t="s">
        <v>124</v>
      </c>
      <c r="F89" s="32" t="s">
        <v>64</v>
      </c>
      <c r="G89" s="67" t="s">
        <v>15</v>
      </c>
      <c r="H89" s="32" t="s">
        <v>52</v>
      </c>
      <c r="I89" s="35">
        <v>46174</v>
      </c>
      <c r="J89" s="35">
        <v>46180</v>
      </c>
      <c r="K89" s="36">
        <v>6</v>
      </c>
      <c r="L89" s="43">
        <v>46175</v>
      </c>
      <c r="M89" s="43">
        <v>46178</v>
      </c>
      <c r="N89" s="38"/>
      <c r="O89" s="45"/>
    </row>
    <row r="90" spans="1:16" ht="17.25" customHeight="1" x14ac:dyDescent="0.2">
      <c r="B90" s="32">
        <v>65</v>
      </c>
      <c r="C90" s="32">
        <v>4</v>
      </c>
      <c r="D90" s="38" t="s">
        <v>66</v>
      </c>
      <c r="E90" s="40" t="s">
        <v>125</v>
      </c>
      <c r="F90" s="32" t="s">
        <v>64</v>
      </c>
      <c r="G90" s="67" t="s">
        <v>19</v>
      </c>
      <c r="H90" s="32" t="s">
        <v>52</v>
      </c>
      <c r="I90" s="35">
        <v>46174</v>
      </c>
      <c r="J90" s="35">
        <v>46180</v>
      </c>
      <c r="K90" s="36">
        <v>9</v>
      </c>
      <c r="L90" s="43">
        <v>46175</v>
      </c>
      <c r="M90" s="43">
        <v>46178</v>
      </c>
      <c r="N90" s="38"/>
      <c r="O90" s="45"/>
    </row>
    <row r="91" spans="1:16" ht="17.25" customHeight="1" x14ac:dyDescent="0.2">
      <c r="B91" s="32">
        <v>66</v>
      </c>
      <c r="C91" s="32">
        <v>4</v>
      </c>
      <c r="D91" s="38" t="s">
        <v>66</v>
      </c>
      <c r="E91" s="40" t="s">
        <v>126</v>
      </c>
      <c r="F91" s="32" t="s">
        <v>64</v>
      </c>
      <c r="G91" s="67" t="s">
        <v>12</v>
      </c>
      <c r="H91" s="32" t="s">
        <v>52</v>
      </c>
      <c r="I91" s="35">
        <v>46174</v>
      </c>
      <c r="J91" s="35">
        <v>46180</v>
      </c>
      <c r="K91" s="36">
        <v>5</v>
      </c>
      <c r="L91" s="43">
        <v>46175</v>
      </c>
      <c r="M91" s="43">
        <v>46178</v>
      </c>
      <c r="N91" s="38"/>
      <c r="O91" s="45"/>
    </row>
    <row r="92" spans="1:16" ht="17.25" customHeight="1" x14ac:dyDescent="0.2">
      <c r="B92" s="32">
        <v>67</v>
      </c>
      <c r="C92" s="32">
        <v>4</v>
      </c>
      <c r="D92" s="38" t="s">
        <v>66</v>
      </c>
      <c r="E92" s="40" t="s">
        <v>127</v>
      </c>
      <c r="F92" s="32" t="s">
        <v>64</v>
      </c>
      <c r="G92" s="67" t="s">
        <v>17</v>
      </c>
      <c r="H92" s="32" t="s">
        <v>52</v>
      </c>
      <c r="I92" s="35">
        <v>46174</v>
      </c>
      <c r="J92" s="35">
        <v>46180</v>
      </c>
      <c r="K92" s="36">
        <v>4</v>
      </c>
      <c r="L92" s="43">
        <v>46175</v>
      </c>
      <c r="M92" s="43">
        <v>46178</v>
      </c>
      <c r="N92" s="38"/>
      <c r="O92" s="45"/>
    </row>
    <row r="93" spans="1:16" ht="17.25" customHeight="1" x14ac:dyDescent="0.2">
      <c r="B93" s="32">
        <v>68</v>
      </c>
      <c r="C93" s="32">
        <v>4</v>
      </c>
      <c r="D93" s="38" t="s">
        <v>66</v>
      </c>
      <c r="E93" s="40" t="s">
        <v>128</v>
      </c>
      <c r="F93" s="32" t="s">
        <v>64</v>
      </c>
      <c r="G93" s="67" t="s">
        <v>21</v>
      </c>
      <c r="H93" s="32" t="s">
        <v>52</v>
      </c>
      <c r="I93" s="35">
        <v>46174</v>
      </c>
      <c r="J93" s="35">
        <v>46180</v>
      </c>
      <c r="K93" s="36">
        <v>5</v>
      </c>
      <c r="L93" s="43">
        <v>46175</v>
      </c>
      <c r="M93" s="43">
        <v>46178</v>
      </c>
      <c r="N93" s="38"/>
      <c r="O93" s="45"/>
    </row>
    <row r="94" spans="1:16" ht="17.25" customHeight="1" x14ac:dyDescent="0.2">
      <c r="B94" s="32">
        <v>69</v>
      </c>
      <c r="C94" s="32">
        <v>4</v>
      </c>
      <c r="D94" s="38" t="s">
        <v>129</v>
      </c>
      <c r="E94" s="40" t="s">
        <v>130</v>
      </c>
      <c r="F94" s="32" t="s">
        <v>64</v>
      </c>
      <c r="G94" s="67" t="s">
        <v>15</v>
      </c>
      <c r="H94" s="32" t="s">
        <v>52</v>
      </c>
      <c r="I94" s="35">
        <v>46174</v>
      </c>
      <c r="J94" s="35">
        <v>46180</v>
      </c>
      <c r="K94" s="36">
        <v>5</v>
      </c>
      <c r="L94" s="43">
        <v>46175</v>
      </c>
      <c r="M94" s="43">
        <v>46178</v>
      </c>
      <c r="N94" s="38"/>
      <c r="O94" s="45"/>
    </row>
    <row r="95" spans="1:16" ht="17.25" customHeight="1" x14ac:dyDescent="0.2">
      <c r="B95" s="32">
        <v>70</v>
      </c>
      <c r="C95" s="32">
        <v>4</v>
      </c>
      <c r="D95" s="38" t="s">
        <v>66</v>
      </c>
      <c r="E95" s="40" t="s">
        <v>131</v>
      </c>
      <c r="F95" s="32" t="s">
        <v>64</v>
      </c>
      <c r="G95" s="67" t="s">
        <v>19</v>
      </c>
      <c r="H95" s="32" t="s">
        <v>52</v>
      </c>
      <c r="I95" s="35">
        <v>46174</v>
      </c>
      <c r="J95" s="35">
        <v>46180</v>
      </c>
      <c r="K95" s="36">
        <v>9</v>
      </c>
      <c r="L95" s="43">
        <v>46175</v>
      </c>
      <c r="M95" s="43">
        <v>46178</v>
      </c>
      <c r="N95" s="38"/>
      <c r="O95" s="45"/>
    </row>
    <row r="96" spans="1:16" ht="17.25" customHeight="1" x14ac:dyDescent="0.2">
      <c r="B96" s="32">
        <v>71</v>
      </c>
      <c r="C96" s="32">
        <v>4</v>
      </c>
      <c r="D96" s="38" t="s">
        <v>66</v>
      </c>
      <c r="E96" s="40" t="s">
        <v>132</v>
      </c>
      <c r="F96" s="32" t="s">
        <v>64</v>
      </c>
      <c r="G96" s="67" t="s">
        <v>12</v>
      </c>
      <c r="H96" s="32" t="s">
        <v>52</v>
      </c>
      <c r="I96" s="35">
        <v>46174</v>
      </c>
      <c r="J96" s="35">
        <v>46180</v>
      </c>
      <c r="K96" s="36">
        <v>5</v>
      </c>
      <c r="L96" s="43">
        <v>46175</v>
      </c>
      <c r="M96" s="43">
        <v>46178</v>
      </c>
      <c r="N96" s="38"/>
      <c r="O96" s="45"/>
    </row>
    <row r="97" spans="2:15" ht="17.25" customHeight="1" x14ac:dyDescent="0.2">
      <c r="B97" s="32">
        <v>72</v>
      </c>
      <c r="C97" s="32">
        <v>4</v>
      </c>
      <c r="D97" s="38" t="s">
        <v>66</v>
      </c>
      <c r="E97" s="40" t="s">
        <v>133</v>
      </c>
      <c r="F97" s="32" t="s">
        <v>64</v>
      </c>
      <c r="G97" s="67" t="s">
        <v>17</v>
      </c>
      <c r="H97" s="32" t="s">
        <v>52</v>
      </c>
      <c r="I97" s="35">
        <v>46174</v>
      </c>
      <c r="J97" s="35">
        <v>46180</v>
      </c>
      <c r="K97" s="36">
        <v>4</v>
      </c>
      <c r="L97" s="43">
        <v>46175</v>
      </c>
      <c r="M97" s="43">
        <v>46178</v>
      </c>
      <c r="N97" s="38"/>
      <c r="O97" s="45"/>
    </row>
    <row r="98" spans="2:15" ht="17.25" customHeight="1" x14ac:dyDescent="0.2">
      <c r="B98" s="32">
        <v>73</v>
      </c>
      <c r="C98" s="32">
        <v>4</v>
      </c>
      <c r="D98" s="38" t="s">
        <v>66</v>
      </c>
      <c r="E98" s="40" t="s">
        <v>134</v>
      </c>
      <c r="F98" s="32" t="s">
        <v>64</v>
      </c>
      <c r="G98" s="67" t="s">
        <v>21</v>
      </c>
      <c r="H98" s="32" t="s">
        <v>52</v>
      </c>
      <c r="I98" s="35">
        <v>46174</v>
      </c>
      <c r="J98" s="35">
        <v>46180</v>
      </c>
      <c r="K98" s="36">
        <v>5</v>
      </c>
      <c r="L98" s="43">
        <v>46175</v>
      </c>
      <c r="M98" s="43">
        <v>46178</v>
      </c>
      <c r="N98" s="38"/>
      <c r="O98" s="45"/>
    </row>
    <row r="99" spans="2:15" ht="17.25" customHeight="1" x14ac:dyDescent="0.2">
      <c r="B99" s="32">
        <v>74</v>
      </c>
      <c r="C99" s="32">
        <v>4</v>
      </c>
      <c r="D99" s="38" t="s">
        <v>66</v>
      </c>
      <c r="E99" s="42" t="s">
        <v>135</v>
      </c>
      <c r="F99" s="32" t="s">
        <v>64</v>
      </c>
      <c r="G99" s="67" t="s">
        <v>15</v>
      </c>
      <c r="H99" s="32" t="s">
        <v>52</v>
      </c>
      <c r="I99" s="35">
        <v>46174</v>
      </c>
      <c r="J99" s="35">
        <v>46180</v>
      </c>
      <c r="K99" s="36">
        <v>6</v>
      </c>
      <c r="L99" s="43">
        <v>46175</v>
      </c>
      <c r="M99" s="43">
        <v>46178</v>
      </c>
      <c r="N99" s="42"/>
      <c r="O99" s="45"/>
    </row>
    <row r="100" spans="2:15" ht="17.25" customHeight="1" x14ac:dyDescent="0.2">
      <c r="B100" s="32">
        <v>75</v>
      </c>
      <c r="C100" s="32">
        <v>4</v>
      </c>
      <c r="D100" s="38" t="s">
        <v>129</v>
      </c>
      <c r="E100" s="42" t="s">
        <v>136</v>
      </c>
      <c r="F100" s="32" t="s">
        <v>64</v>
      </c>
      <c r="G100" s="67" t="s">
        <v>19</v>
      </c>
      <c r="H100" s="32" t="s">
        <v>52</v>
      </c>
      <c r="I100" s="35">
        <v>46174</v>
      </c>
      <c r="J100" s="35">
        <v>46180</v>
      </c>
      <c r="K100" s="36">
        <v>7</v>
      </c>
      <c r="L100" s="43">
        <v>46175</v>
      </c>
      <c r="M100" s="43">
        <v>46178</v>
      </c>
      <c r="N100" s="42"/>
      <c r="O100" s="45"/>
    </row>
    <row r="101" spans="2:15" ht="17.25" customHeight="1" x14ac:dyDescent="0.2">
      <c r="B101" s="32">
        <v>76</v>
      </c>
      <c r="C101" s="32">
        <v>4</v>
      </c>
      <c r="D101" s="38" t="s">
        <v>129</v>
      </c>
      <c r="E101" s="42" t="s">
        <v>137</v>
      </c>
      <c r="F101" s="32" t="s">
        <v>64</v>
      </c>
      <c r="G101" s="67" t="s">
        <v>12</v>
      </c>
      <c r="H101" s="32" t="s">
        <v>52</v>
      </c>
      <c r="I101" s="35">
        <v>46174</v>
      </c>
      <c r="J101" s="35">
        <v>46180</v>
      </c>
      <c r="K101" s="36">
        <v>4</v>
      </c>
      <c r="L101" s="43">
        <v>46175</v>
      </c>
      <c r="M101" s="43">
        <v>46178</v>
      </c>
      <c r="N101" s="42"/>
      <c r="O101" s="45"/>
    </row>
    <row r="102" spans="2:15" ht="17.25" customHeight="1" x14ac:dyDescent="0.2">
      <c r="B102" s="32">
        <v>77</v>
      </c>
      <c r="C102" s="32">
        <v>4</v>
      </c>
      <c r="D102" s="38" t="s">
        <v>129</v>
      </c>
      <c r="E102" s="42" t="s">
        <v>138</v>
      </c>
      <c r="F102" s="32" t="s">
        <v>64</v>
      </c>
      <c r="G102" s="67" t="s">
        <v>17</v>
      </c>
      <c r="H102" s="32" t="s">
        <v>52</v>
      </c>
      <c r="I102" s="35">
        <v>46174</v>
      </c>
      <c r="J102" s="35">
        <v>46180</v>
      </c>
      <c r="K102" s="36">
        <v>3</v>
      </c>
      <c r="L102" s="43">
        <v>46175</v>
      </c>
      <c r="M102" s="43">
        <v>46178</v>
      </c>
      <c r="N102" s="42"/>
      <c r="O102" s="45"/>
    </row>
    <row r="103" spans="2:15" ht="17.25" customHeight="1" x14ac:dyDescent="0.2">
      <c r="B103" s="32">
        <v>78</v>
      </c>
      <c r="C103" s="32">
        <v>4</v>
      </c>
      <c r="D103" s="38" t="s">
        <v>139</v>
      </c>
      <c r="E103" s="42" t="s">
        <v>140</v>
      </c>
      <c r="F103" s="32" t="s">
        <v>64</v>
      </c>
      <c r="G103" s="67" t="s">
        <v>21</v>
      </c>
      <c r="H103" s="32" t="s">
        <v>52</v>
      </c>
      <c r="I103" s="35">
        <v>46174</v>
      </c>
      <c r="J103" s="35">
        <v>46180</v>
      </c>
      <c r="K103" s="36">
        <v>4</v>
      </c>
      <c r="L103" s="43">
        <v>46175</v>
      </c>
      <c r="M103" s="43">
        <v>46178</v>
      </c>
      <c r="N103" s="42"/>
      <c r="O103" s="45"/>
    </row>
    <row r="104" spans="2:15" ht="17.25" customHeight="1" x14ac:dyDescent="0.2">
      <c r="B104" s="32">
        <v>79</v>
      </c>
      <c r="C104" s="32">
        <v>4</v>
      </c>
      <c r="D104" s="38" t="s">
        <v>139</v>
      </c>
      <c r="E104" s="42" t="s">
        <v>141</v>
      </c>
      <c r="F104" s="32" t="s">
        <v>64</v>
      </c>
      <c r="G104" s="67" t="s">
        <v>15</v>
      </c>
      <c r="H104" s="32" t="s">
        <v>52</v>
      </c>
      <c r="I104" s="35">
        <v>46174</v>
      </c>
      <c r="J104" s="35">
        <v>46180</v>
      </c>
      <c r="K104" s="36">
        <v>5</v>
      </c>
      <c r="L104" s="43">
        <v>46175</v>
      </c>
      <c r="M104" s="43">
        <v>46178</v>
      </c>
      <c r="N104" s="42"/>
      <c r="O104" s="45"/>
    </row>
    <row r="105" spans="2:15" ht="17.25" customHeight="1" x14ac:dyDescent="0.2">
      <c r="B105" s="32">
        <v>80</v>
      </c>
      <c r="C105" s="32">
        <v>4</v>
      </c>
      <c r="D105" s="38" t="s">
        <v>139</v>
      </c>
      <c r="E105" s="42" t="s">
        <v>142</v>
      </c>
      <c r="F105" s="32" t="s">
        <v>64</v>
      </c>
      <c r="G105" s="67" t="s">
        <v>19</v>
      </c>
      <c r="H105" s="32" t="s">
        <v>52</v>
      </c>
      <c r="I105" s="35">
        <v>46174</v>
      </c>
      <c r="J105" s="35">
        <v>46180</v>
      </c>
      <c r="K105" s="36">
        <v>7</v>
      </c>
      <c r="L105" s="43">
        <v>46175</v>
      </c>
      <c r="M105" s="43">
        <v>46178</v>
      </c>
      <c r="N105" s="42"/>
      <c r="O105" s="45"/>
    </row>
    <row r="106" spans="2:15" ht="17.25" customHeight="1" x14ac:dyDescent="0.2">
      <c r="B106" s="32">
        <v>81</v>
      </c>
      <c r="C106" s="32">
        <v>4</v>
      </c>
      <c r="D106" s="38" t="s">
        <v>139</v>
      </c>
      <c r="E106" s="42" t="s">
        <v>143</v>
      </c>
      <c r="F106" s="32" t="s">
        <v>64</v>
      </c>
      <c r="G106" s="67" t="s">
        <v>12</v>
      </c>
      <c r="H106" s="32" t="s">
        <v>52</v>
      </c>
      <c r="I106" s="35">
        <v>46174</v>
      </c>
      <c r="J106" s="35">
        <v>46180</v>
      </c>
      <c r="K106" s="36">
        <v>4</v>
      </c>
      <c r="L106" s="43">
        <v>46175</v>
      </c>
      <c r="M106" s="43">
        <v>46178</v>
      </c>
      <c r="N106" s="42"/>
      <c r="O106" s="45"/>
    </row>
    <row r="107" spans="2:15" ht="17.25" customHeight="1" x14ac:dyDescent="0.2">
      <c r="B107" s="32">
        <v>82</v>
      </c>
      <c r="C107" s="32">
        <v>4</v>
      </c>
      <c r="D107" s="38" t="s">
        <v>129</v>
      </c>
      <c r="E107" s="42" t="s">
        <v>144</v>
      </c>
      <c r="F107" s="32" t="s">
        <v>64</v>
      </c>
      <c r="G107" s="67" t="s">
        <v>17</v>
      </c>
      <c r="H107" s="32" t="s">
        <v>52</v>
      </c>
      <c r="I107" s="35">
        <v>46174</v>
      </c>
      <c r="J107" s="35">
        <v>46180</v>
      </c>
      <c r="K107" s="36">
        <v>3</v>
      </c>
      <c r="L107" s="43">
        <v>46175</v>
      </c>
      <c r="M107" s="43">
        <v>46178</v>
      </c>
      <c r="N107" s="42"/>
      <c r="O107" s="45"/>
    </row>
    <row r="108" spans="2:15" ht="17.25" customHeight="1" x14ac:dyDescent="0.2">
      <c r="B108" s="32">
        <v>83</v>
      </c>
      <c r="C108" s="32">
        <v>4</v>
      </c>
      <c r="D108" s="38" t="s">
        <v>129</v>
      </c>
      <c r="E108" s="42" t="s">
        <v>145</v>
      </c>
      <c r="F108" s="32" t="s">
        <v>64</v>
      </c>
      <c r="G108" s="67" t="s">
        <v>21</v>
      </c>
      <c r="H108" s="32" t="s">
        <v>52</v>
      </c>
      <c r="I108" s="35">
        <v>46174</v>
      </c>
      <c r="J108" s="35">
        <v>46180</v>
      </c>
      <c r="K108" s="36">
        <v>4</v>
      </c>
      <c r="L108" s="43">
        <v>46175</v>
      </c>
      <c r="M108" s="43">
        <v>46178</v>
      </c>
      <c r="N108" s="42"/>
      <c r="O108" s="45"/>
    </row>
    <row r="109" spans="2:15" ht="17.25" customHeight="1" x14ac:dyDescent="0.2">
      <c r="B109" s="32">
        <v>84</v>
      </c>
      <c r="C109" s="32">
        <v>4</v>
      </c>
      <c r="D109" s="38" t="s">
        <v>129</v>
      </c>
      <c r="E109" s="42" t="s">
        <v>146</v>
      </c>
      <c r="F109" s="32" t="s">
        <v>64</v>
      </c>
      <c r="G109" s="67" t="s">
        <v>15</v>
      </c>
      <c r="H109" s="32" t="s">
        <v>52</v>
      </c>
      <c r="I109" s="35">
        <v>46174</v>
      </c>
      <c r="J109" s="35">
        <v>46180</v>
      </c>
      <c r="K109" s="36">
        <v>5</v>
      </c>
      <c r="L109" s="43">
        <v>46175</v>
      </c>
      <c r="M109" s="43">
        <v>46178</v>
      </c>
      <c r="N109" s="42"/>
      <c r="O109" s="45"/>
    </row>
    <row r="110" spans="2:15" ht="17.25" customHeight="1" x14ac:dyDescent="0.2">
      <c r="B110" s="32">
        <v>85</v>
      </c>
      <c r="C110" s="41">
        <v>4</v>
      </c>
      <c r="D110" s="38" t="s">
        <v>62</v>
      </c>
      <c r="E110" s="42" t="s">
        <v>147</v>
      </c>
      <c r="F110" s="32" t="s">
        <v>64</v>
      </c>
      <c r="G110" s="67" t="s">
        <v>19</v>
      </c>
      <c r="H110" s="32" t="s">
        <v>52</v>
      </c>
      <c r="I110" s="35">
        <v>46174</v>
      </c>
      <c r="J110" s="35">
        <v>46180</v>
      </c>
      <c r="K110" s="36">
        <v>7</v>
      </c>
      <c r="L110" s="43">
        <v>46175</v>
      </c>
      <c r="M110" s="43">
        <v>46178</v>
      </c>
      <c r="N110" s="42"/>
      <c r="O110" s="45"/>
    </row>
    <row r="111" spans="2:15" ht="17.25" customHeight="1" x14ac:dyDescent="0.2">
      <c r="B111" s="32">
        <v>86</v>
      </c>
      <c r="C111" s="41">
        <v>4</v>
      </c>
      <c r="D111" s="38" t="s">
        <v>62</v>
      </c>
      <c r="E111" s="42" t="s">
        <v>148</v>
      </c>
      <c r="F111" s="32" t="s">
        <v>64</v>
      </c>
      <c r="G111" s="67" t="s">
        <v>12</v>
      </c>
      <c r="H111" s="32" t="s">
        <v>52</v>
      </c>
      <c r="I111" s="35">
        <v>46174</v>
      </c>
      <c r="J111" s="35">
        <v>46180</v>
      </c>
      <c r="K111" s="36">
        <v>4</v>
      </c>
      <c r="L111" s="43">
        <v>46175</v>
      </c>
      <c r="M111" s="43">
        <v>46178</v>
      </c>
      <c r="N111" s="42"/>
      <c r="O111" s="45"/>
    </row>
    <row r="112" spans="2:15" ht="17.25" customHeight="1" x14ac:dyDescent="0.2">
      <c r="B112" s="32">
        <v>87</v>
      </c>
      <c r="C112" s="41">
        <v>4</v>
      </c>
      <c r="D112" s="38" t="s">
        <v>92</v>
      </c>
      <c r="E112" s="42" t="s">
        <v>149</v>
      </c>
      <c r="F112" s="32" t="s">
        <v>64</v>
      </c>
      <c r="G112" s="67" t="s">
        <v>17</v>
      </c>
      <c r="H112" s="32" t="s">
        <v>52</v>
      </c>
      <c r="I112" s="35">
        <v>46174</v>
      </c>
      <c r="J112" s="35">
        <v>46180</v>
      </c>
      <c r="K112" s="36">
        <v>3</v>
      </c>
      <c r="L112" s="43">
        <v>46175</v>
      </c>
      <c r="M112" s="43">
        <v>46178</v>
      </c>
      <c r="N112" s="42"/>
      <c r="O112" s="45"/>
    </row>
    <row r="113" spans="2:15" ht="17.25" customHeight="1" x14ac:dyDescent="0.2">
      <c r="B113" s="32">
        <v>88</v>
      </c>
      <c r="C113" s="41">
        <v>4</v>
      </c>
      <c r="D113" s="38" t="s">
        <v>92</v>
      </c>
      <c r="E113" s="42" t="s">
        <v>150</v>
      </c>
      <c r="F113" s="32" t="s">
        <v>64</v>
      </c>
      <c r="G113" s="67" t="s">
        <v>21</v>
      </c>
      <c r="H113" s="32" t="s">
        <v>52</v>
      </c>
      <c r="I113" s="35">
        <v>46174</v>
      </c>
      <c r="J113" s="35">
        <v>46180</v>
      </c>
      <c r="K113" s="36">
        <v>4</v>
      </c>
      <c r="L113" s="43">
        <v>46175</v>
      </c>
      <c r="M113" s="43">
        <v>46178</v>
      </c>
      <c r="N113" s="42"/>
      <c r="O113" s="45"/>
    </row>
    <row r="114" spans="2:15" ht="17.25" customHeight="1" x14ac:dyDescent="0.2">
      <c r="B114" s="32">
        <v>89</v>
      </c>
      <c r="C114" s="41">
        <v>4</v>
      </c>
      <c r="D114" s="38" t="s">
        <v>92</v>
      </c>
      <c r="E114" s="42" t="s">
        <v>151</v>
      </c>
      <c r="F114" s="32" t="s">
        <v>64</v>
      </c>
      <c r="G114" s="67" t="s">
        <v>15</v>
      </c>
      <c r="H114" s="32" t="s">
        <v>52</v>
      </c>
      <c r="I114" s="35">
        <v>46174</v>
      </c>
      <c r="J114" s="35">
        <v>46180</v>
      </c>
      <c r="K114" s="36">
        <v>5</v>
      </c>
      <c r="L114" s="43">
        <v>46175</v>
      </c>
      <c r="M114" s="43">
        <v>46178</v>
      </c>
      <c r="N114" s="42"/>
      <c r="O114" s="45"/>
    </row>
    <row r="115" spans="2:15" ht="17.25" customHeight="1" x14ac:dyDescent="0.2">
      <c r="B115" s="32">
        <v>90</v>
      </c>
      <c r="C115" s="41">
        <v>4</v>
      </c>
      <c r="D115" s="38" t="s">
        <v>92</v>
      </c>
      <c r="E115" s="42" t="s">
        <v>152</v>
      </c>
      <c r="F115" s="32" t="s">
        <v>64</v>
      </c>
      <c r="G115" s="67" t="s">
        <v>19</v>
      </c>
      <c r="H115" s="32" t="s">
        <v>52</v>
      </c>
      <c r="I115" s="35">
        <v>46174</v>
      </c>
      <c r="J115" s="35">
        <v>46180</v>
      </c>
      <c r="K115" s="36">
        <v>7</v>
      </c>
      <c r="L115" s="43">
        <v>46175</v>
      </c>
      <c r="M115" s="43">
        <v>46178</v>
      </c>
      <c r="N115" s="42"/>
      <c r="O115" s="45"/>
    </row>
    <row r="116" spans="2:15" ht="17.25" customHeight="1" x14ac:dyDescent="0.2">
      <c r="B116" s="32">
        <v>91</v>
      </c>
      <c r="C116" s="41">
        <v>4</v>
      </c>
      <c r="D116" s="38" t="s">
        <v>139</v>
      </c>
      <c r="E116" s="42" t="s">
        <v>153</v>
      </c>
      <c r="F116" s="32" t="s">
        <v>64</v>
      </c>
      <c r="G116" s="67" t="s">
        <v>12</v>
      </c>
      <c r="H116" s="32" t="s">
        <v>52</v>
      </c>
      <c r="I116" s="35">
        <v>46174</v>
      </c>
      <c r="J116" s="35">
        <v>46180</v>
      </c>
      <c r="K116" s="36">
        <v>4</v>
      </c>
      <c r="L116" s="43">
        <v>46175</v>
      </c>
      <c r="M116" s="43">
        <v>46178</v>
      </c>
      <c r="N116" s="42"/>
      <c r="O116" s="45"/>
    </row>
    <row r="117" spans="2:15" ht="17.25" customHeight="1" x14ac:dyDescent="0.2">
      <c r="B117" s="32">
        <v>92</v>
      </c>
      <c r="C117" s="41">
        <v>4</v>
      </c>
      <c r="D117" s="38" t="s">
        <v>62</v>
      </c>
      <c r="E117" s="42" t="s">
        <v>154</v>
      </c>
      <c r="F117" s="32" t="s">
        <v>54</v>
      </c>
      <c r="G117" s="67" t="s">
        <v>17</v>
      </c>
      <c r="H117" s="32" t="s">
        <v>52</v>
      </c>
      <c r="I117" s="35">
        <v>46174</v>
      </c>
      <c r="J117" s="35">
        <v>46180</v>
      </c>
      <c r="K117" s="36">
        <v>3</v>
      </c>
      <c r="L117" s="43">
        <v>46175</v>
      </c>
      <c r="M117" s="43">
        <v>46178</v>
      </c>
      <c r="N117" s="42"/>
      <c r="O117" s="45"/>
    </row>
    <row r="118" spans="2:15" ht="17.25" customHeight="1" x14ac:dyDescent="0.2">
      <c r="B118" s="32">
        <v>93</v>
      </c>
      <c r="C118" s="32">
        <v>5</v>
      </c>
      <c r="D118" s="38" t="s">
        <v>129</v>
      </c>
      <c r="E118" s="42" t="s">
        <v>155</v>
      </c>
      <c r="F118" s="32" t="s">
        <v>64</v>
      </c>
      <c r="G118" s="67" t="s">
        <v>21</v>
      </c>
      <c r="H118" s="32" t="s">
        <v>52</v>
      </c>
      <c r="I118" s="35">
        <v>46181</v>
      </c>
      <c r="J118" s="35">
        <v>46187</v>
      </c>
      <c r="K118" s="36">
        <v>4</v>
      </c>
      <c r="L118" s="46">
        <v>46183</v>
      </c>
      <c r="M118" s="46">
        <v>46186</v>
      </c>
      <c r="N118" s="42"/>
      <c r="O118" s="45"/>
    </row>
    <row r="119" spans="2:15" ht="17.25" customHeight="1" x14ac:dyDescent="0.2">
      <c r="B119" s="32">
        <v>94</v>
      </c>
      <c r="C119" s="32">
        <v>5</v>
      </c>
      <c r="D119" s="38" t="s">
        <v>129</v>
      </c>
      <c r="E119" s="42" t="s">
        <v>156</v>
      </c>
      <c r="F119" s="32" t="s">
        <v>64</v>
      </c>
      <c r="G119" s="67" t="s">
        <v>15</v>
      </c>
      <c r="H119" s="32" t="s">
        <v>52</v>
      </c>
      <c r="I119" s="35">
        <v>46181</v>
      </c>
      <c r="J119" s="35">
        <v>46187</v>
      </c>
      <c r="K119" s="36">
        <v>5</v>
      </c>
      <c r="L119" s="46">
        <v>46183</v>
      </c>
      <c r="M119" s="46">
        <v>46186</v>
      </c>
      <c r="N119" s="42"/>
      <c r="O119" s="45"/>
    </row>
    <row r="120" spans="2:15" ht="17.25" customHeight="1" x14ac:dyDescent="0.2">
      <c r="B120" s="32">
        <v>95</v>
      </c>
      <c r="C120" s="32">
        <v>5</v>
      </c>
      <c r="D120" s="38" t="s">
        <v>139</v>
      </c>
      <c r="E120" s="42" t="s">
        <v>157</v>
      </c>
      <c r="F120" s="32" t="s">
        <v>64</v>
      </c>
      <c r="G120" s="67" t="s">
        <v>19</v>
      </c>
      <c r="H120" s="32" t="s">
        <v>52</v>
      </c>
      <c r="I120" s="35">
        <v>46181</v>
      </c>
      <c r="J120" s="35">
        <v>46187</v>
      </c>
      <c r="K120" s="36">
        <v>7</v>
      </c>
      <c r="L120" s="46">
        <v>46183</v>
      </c>
      <c r="M120" s="46">
        <v>46186</v>
      </c>
      <c r="N120" s="42"/>
      <c r="O120" s="45"/>
    </row>
    <row r="121" spans="2:15" ht="17.25" customHeight="1" x14ac:dyDescent="0.2">
      <c r="B121" s="32">
        <v>96</v>
      </c>
      <c r="C121" s="32">
        <v>5</v>
      </c>
      <c r="D121" s="38" t="s">
        <v>139</v>
      </c>
      <c r="E121" s="42" t="s">
        <v>158</v>
      </c>
      <c r="F121" s="32" t="s">
        <v>64</v>
      </c>
      <c r="G121" s="67" t="s">
        <v>12</v>
      </c>
      <c r="H121" s="32" t="s">
        <v>52</v>
      </c>
      <c r="I121" s="35">
        <v>46181</v>
      </c>
      <c r="J121" s="35">
        <v>46187</v>
      </c>
      <c r="K121" s="36">
        <v>4</v>
      </c>
      <c r="L121" s="46">
        <v>46183</v>
      </c>
      <c r="M121" s="46">
        <v>46186</v>
      </c>
      <c r="N121" s="42"/>
      <c r="O121" s="45"/>
    </row>
    <row r="122" spans="2:15" ht="17.25" customHeight="1" x14ac:dyDescent="0.2">
      <c r="B122" s="32">
        <v>97</v>
      </c>
      <c r="C122" s="32">
        <v>5</v>
      </c>
      <c r="D122" s="38" t="s">
        <v>139</v>
      </c>
      <c r="E122" s="42" t="s">
        <v>159</v>
      </c>
      <c r="F122" s="32" t="s">
        <v>64</v>
      </c>
      <c r="G122" s="67" t="s">
        <v>17</v>
      </c>
      <c r="H122" s="32" t="s">
        <v>52</v>
      </c>
      <c r="I122" s="35">
        <v>46181</v>
      </c>
      <c r="J122" s="35">
        <v>46187</v>
      </c>
      <c r="K122" s="36">
        <v>3</v>
      </c>
      <c r="L122" s="46">
        <v>46183</v>
      </c>
      <c r="M122" s="46">
        <v>46186</v>
      </c>
      <c r="N122" s="42"/>
      <c r="O122" s="45"/>
    </row>
    <row r="123" spans="2:15" ht="17.25" customHeight="1" x14ac:dyDescent="0.2">
      <c r="B123" s="32">
        <v>98</v>
      </c>
      <c r="C123" s="32">
        <v>5</v>
      </c>
      <c r="D123" s="38" t="s">
        <v>139</v>
      </c>
      <c r="E123" s="42" t="s">
        <v>160</v>
      </c>
      <c r="F123" s="32" t="s">
        <v>64</v>
      </c>
      <c r="G123" s="67" t="s">
        <v>21</v>
      </c>
      <c r="H123" s="32" t="s">
        <v>52</v>
      </c>
      <c r="I123" s="35">
        <v>46181</v>
      </c>
      <c r="J123" s="35">
        <v>46187</v>
      </c>
      <c r="K123" s="36">
        <v>4</v>
      </c>
      <c r="L123" s="46">
        <v>46183</v>
      </c>
      <c r="M123" s="46">
        <v>46186</v>
      </c>
      <c r="N123" s="42"/>
      <c r="O123" s="45"/>
    </row>
    <row r="124" spans="2:15" ht="17.25" customHeight="1" x14ac:dyDescent="0.2">
      <c r="B124" s="32">
        <v>99</v>
      </c>
      <c r="C124" s="32">
        <v>5</v>
      </c>
      <c r="D124" s="38" t="s">
        <v>139</v>
      </c>
      <c r="E124" s="42" t="s">
        <v>161</v>
      </c>
      <c r="F124" s="32" t="s">
        <v>64</v>
      </c>
      <c r="G124" s="67" t="s">
        <v>15</v>
      </c>
      <c r="H124" s="32" t="s">
        <v>52</v>
      </c>
      <c r="I124" s="35">
        <v>46181</v>
      </c>
      <c r="J124" s="35">
        <v>46187</v>
      </c>
      <c r="K124" s="36">
        <v>5</v>
      </c>
      <c r="L124" s="46">
        <v>46183</v>
      </c>
      <c r="M124" s="46">
        <v>46186</v>
      </c>
      <c r="N124" s="42"/>
      <c r="O124" s="45"/>
    </row>
    <row r="125" spans="2:15" ht="17.25" customHeight="1" x14ac:dyDescent="0.2">
      <c r="B125" s="32">
        <v>100</v>
      </c>
      <c r="C125" s="32">
        <v>5</v>
      </c>
      <c r="D125" s="38" t="s">
        <v>162</v>
      </c>
      <c r="E125" s="42" t="s">
        <v>163</v>
      </c>
      <c r="F125" s="32" t="s">
        <v>64</v>
      </c>
      <c r="G125" s="67" t="s">
        <v>19</v>
      </c>
      <c r="H125" s="32" t="s">
        <v>52</v>
      </c>
      <c r="I125" s="35">
        <v>46181</v>
      </c>
      <c r="J125" s="35">
        <v>46187</v>
      </c>
      <c r="K125" s="36">
        <v>5</v>
      </c>
      <c r="L125" s="46">
        <v>46183</v>
      </c>
      <c r="M125" s="46">
        <v>46186</v>
      </c>
      <c r="N125" s="42"/>
      <c r="O125" s="45"/>
    </row>
    <row r="126" spans="2:15" ht="17.25" customHeight="1" x14ac:dyDescent="0.2">
      <c r="B126" s="32">
        <v>101</v>
      </c>
      <c r="C126" s="32">
        <v>5</v>
      </c>
      <c r="D126" s="38" t="s">
        <v>162</v>
      </c>
      <c r="E126" s="42" t="s">
        <v>164</v>
      </c>
      <c r="F126" s="32" t="s">
        <v>64</v>
      </c>
      <c r="G126" s="67" t="s">
        <v>12</v>
      </c>
      <c r="H126" s="32" t="s">
        <v>52</v>
      </c>
      <c r="I126" s="35">
        <v>46181</v>
      </c>
      <c r="J126" s="35">
        <v>46187</v>
      </c>
      <c r="K126" s="36">
        <v>3</v>
      </c>
      <c r="L126" s="46">
        <v>46183</v>
      </c>
      <c r="M126" s="46">
        <v>46186</v>
      </c>
      <c r="N126" s="42"/>
      <c r="O126" s="45"/>
    </row>
    <row r="127" spans="2:15" ht="17.25" customHeight="1" x14ac:dyDescent="0.2">
      <c r="B127" s="32">
        <v>102</v>
      </c>
      <c r="C127" s="32">
        <v>5</v>
      </c>
      <c r="D127" s="38" t="s">
        <v>162</v>
      </c>
      <c r="E127" s="42" t="s">
        <v>165</v>
      </c>
      <c r="F127" s="32" t="s">
        <v>64</v>
      </c>
      <c r="G127" s="67" t="s">
        <v>17</v>
      </c>
      <c r="H127" s="32" t="s">
        <v>52</v>
      </c>
      <c r="I127" s="35">
        <v>46181</v>
      </c>
      <c r="J127" s="35">
        <v>46187</v>
      </c>
      <c r="K127" s="36">
        <v>2</v>
      </c>
      <c r="L127" s="46">
        <v>46183</v>
      </c>
      <c r="M127" s="46">
        <v>46186</v>
      </c>
      <c r="N127" s="42"/>
      <c r="O127" s="45"/>
    </row>
    <row r="128" spans="2:15" ht="17.25" customHeight="1" x14ac:dyDescent="0.2">
      <c r="B128" s="32">
        <v>103</v>
      </c>
      <c r="C128" s="32">
        <v>5</v>
      </c>
      <c r="D128" s="38" t="s">
        <v>162</v>
      </c>
      <c r="E128" s="42" t="s">
        <v>166</v>
      </c>
      <c r="F128" s="32" t="s">
        <v>64</v>
      </c>
      <c r="G128" s="67" t="s">
        <v>21</v>
      </c>
      <c r="H128" s="32" t="s">
        <v>52</v>
      </c>
      <c r="I128" s="35">
        <v>46181</v>
      </c>
      <c r="J128" s="35">
        <v>46187</v>
      </c>
      <c r="K128" s="36">
        <v>3</v>
      </c>
      <c r="L128" s="46">
        <v>46183</v>
      </c>
      <c r="M128" s="46">
        <v>46186</v>
      </c>
      <c r="N128" s="42"/>
      <c r="O128" s="45"/>
    </row>
    <row r="129" spans="2:15" ht="17.25" customHeight="1" x14ac:dyDescent="0.2">
      <c r="B129" s="32">
        <v>104</v>
      </c>
      <c r="C129" s="32">
        <v>5</v>
      </c>
      <c r="D129" s="38" t="s">
        <v>162</v>
      </c>
      <c r="E129" s="42" t="s">
        <v>167</v>
      </c>
      <c r="F129" s="32" t="s">
        <v>64</v>
      </c>
      <c r="G129" s="67" t="s">
        <v>15</v>
      </c>
      <c r="H129" s="32" t="s">
        <v>52</v>
      </c>
      <c r="I129" s="35">
        <v>46181</v>
      </c>
      <c r="J129" s="35">
        <v>46187</v>
      </c>
      <c r="K129" s="36">
        <v>4</v>
      </c>
      <c r="L129" s="46">
        <v>46183</v>
      </c>
      <c r="M129" s="46">
        <v>46186</v>
      </c>
      <c r="N129" s="42"/>
      <c r="O129" s="45"/>
    </row>
    <row r="130" spans="2:15" ht="17.25" customHeight="1" x14ac:dyDescent="0.2">
      <c r="B130" s="32">
        <v>105</v>
      </c>
      <c r="C130" s="32">
        <v>5</v>
      </c>
      <c r="D130" s="38" t="s">
        <v>162</v>
      </c>
      <c r="E130" s="42" t="s">
        <v>168</v>
      </c>
      <c r="F130" s="32" t="s">
        <v>64</v>
      </c>
      <c r="G130" s="67" t="s">
        <v>12</v>
      </c>
      <c r="H130" s="32" t="s">
        <v>52</v>
      </c>
      <c r="I130" s="35">
        <v>46181</v>
      </c>
      <c r="J130" s="35">
        <v>46187</v>
      </c>
      <c r="K130" s="36">
        <v>3</v>
      </c>
      <c r="L130" s="46">
        <v>46183</v>
      </c>
      <c r="M130" s="46">
        <v>46186</v>
      </c>
      <c r="N130" s="42"/>
      <c r="O130" s="45"/>
    </row>
    <row r="131" spans="2:15" ht="17.25" customHeight="1" x14ac:dyDescent="0.2">
      <c r="B131" s="32">
        <v>106</v>
      </c>
      <c r="C131" s="32">
        <v>5</v>
      </c>
      <c r="D131" s="38" t="s">
        <v>162</v>
      </c>
      <c r="E131" s="42" t="s">
        <v>169</v>
      </c>
      <c r="F131" s="32" t="s">
        <v>64</v>
      </c>
      <c r="G131" s="67" t="s">
        <v>17</v>
      </c>
      <c r="H131" s="32" t="s">
        <v>52</v>
      </c>
      <c r="I131" s="35">
        <v>46181</v>
      </c>
      <c r="J131" s="35">
        <v>46187</v>
      </c>
      <c r="K131" s="36">
        <v>2</v>
      </c>
      <c r="L131" s="46">
        <v>46183</v>
      </c>
      <c r="M131" s="46">
        <v>46186</v>
      </c>
      <c r="N131" s="42"/>
      <c r="O131" s="45"/>
    </row>
    <row r="132" spans="2:15" ht="17.25" customHeight="1" x14ac:dyDescent="0.2">
      <c r="B132" s="32">
        <v>107</v>
      </c>
      <c r="C132" s="32">
        <v>5</v>
      </c>
      <c r="D132" s="38" t="s">
        <v>162</v>
      </c>
      <c r="E132" s="42" t="s">
        <v>170</v>
      </c>
      <c r="F132" s="32" t="s">
        <v>64</v>
      </c>
      <c r="G132" s="67" t="s">
        <v>21</v>
      </c>
      <c r="H132" s="32" t="s">
        <v>52</v>
      </c>
      <c r="I132" s="35">
        <v>46181</v>
      </c>
      <c r="J132" s="35">
        <v>46187</v>
      </c>
      <c r="K132" s="36">
        <v>3</v>
      </c>
      <c r="L132" s="46">
        <v>46183</v>
      </c>
      <c r="M132" s="46">
        <v>46186</v>
      </c>
      <c r="N132" s="42"/>
      <c r="O132" s="45"/>
    </row>
    <row r="133" spans="2:15" ht="17.25" customHeight="1" x14ac:dyDescent="0.2">
      <c r="B133" s="32">
        <v>108</v>
      </c>
      <c r="C133" s="32">
        <v>5</v>
      </c>
      <c r="D133" s="38" t="s">
        <v>162</v>
      </c>
      <c r="E133" s="42" t="s">
        <v>171</v>
      </c>
      <c r="F133" s="32" t="s">
        <v>64</v>
      </c>
      <c r="G133" s="67" t="s">
        <v>15</v>
      </c>
      <c r="H133" s="32" t="s">
        <v>52</v>
      </c>
      <c r="I133" s="35">
        <v>46181</v>
      </c>
      <c r="J133" s="35">
        <v>46187</v>
      </c>
      <c r="K133" s="36">
        <v>4</v>
      </c>
      <c r="L133" s="46">
        <v>46183</v>
      </c>
      <c r="M133" s="46">
        <v>46186</v>
      </c>
      <c r="N133" s="42"/>
      <c r="O133" s="45"/>
    </row>
    <row r="134" spans="2:15" ht="17.25" customHeight="1" x14ac:dyDescent="0.2">
      <c r="B134" s="32">
        <v>109</v>
      </c>
      <c r="C134" s="32">
        <v>5</v>
      </c>
      <c r="D134" s="38" t="s">
        <v>162</v>
      </c>
      <c r="E134" s="42" t="s">
        <v>172</v>
      </c>
      <c r="F134" s="32" t="s">
        <v>173</v>
      </c>
      <c r="G134" s="67" t="s">
        <v>12</v>
      </c>
      <c r="H134" s="32" t="s">
        <v>52</v>
      </c>
      <c r="I134" s="35">
        <v>46181</v>
      </c>
      <c r="J134" s="35">
        <v>46187</v>
      </c>
      <c r="K134" s="36">
        <v>3</v>
      </c>
      <c r="L134" s="46">
        <v>46183</v>
      </c>
      <c r="M134" s="46">
        <v>46186</v>
      </c>
      <c r="N134" s="42"/>
      <c r="O134" s="45"/>
    </row>
    <row r="135" spans="2:15" ht="17.25" customHeight="1" x14ac:dyDescent="0.2">
      <c r="B135" s="32">
        <v>110</v>
      </c>
      <c r="C135" s="32">
        <v>5</v>
      </c>
      <c r="D135" s="38" t="s">
        <v>162</v>
      </c>
      <c r="E135" s="42" t="s">
        <v>174</v>
      </c>
      <c r="F135" s="32" t="s">
        <v>173</v>
      </c>
      <c r="G135" s="67" t="s">
        <v>17</v>
      </c>
      <c r="H135" s="32" t="s">
        <v>52</v>
      </c>
      <c r="I135" s="35">
        <v>46181</v>
      </c>
      <c r="J135" s="35">
        <v>46187</v>
      </c>
      <c r="K135" s="36">
        <v>2</v>
      </c>
      <c r="L135" s="46">
        <v>46183</v>
      </c>
      <c r="M135" s="46">
        <v>46186</v>
      </c>
      <c r="N135" s="42"/>
      <c r="O135" s="45"/>
    </row>
    <row r="136" spans="2:15" ht="17.25" customHeight="1" x14ac:dyDescent="0.2">
      <c r="B136" s="32">
        <v>111</v>
      </c>
      <c r="C136" s="32">
        <v>5</v>
      </c>
      <c r="D136" s="38" t="s">
        <v>162</v>
      </c>
      <c r="E136" s="42" t="s">
        <v>175</v>
      </c>
      <c r="F136" s="32" t="s">
        <v>64</v>
      </c>
      <c r="G136" s="67" t="s">
        <v>21</v>
      </c>
      <c r="H136" s="32" t="s">
        <v>52</v>
      </c>
      <c r="I136" s="35">
        <v>46181</v>
      </c>
      <c r="J136" s="35">
        <v>46187</v>
      </c>
      <c r="K136" s="36">
        <v>3</v>
      </c>
      <c r="L136" s="46">
        <v>46183</v>
      </c>
      <c r="M136" s="46">
        <v>46186</v>
      </c>
      <c r="N136" s="42"/>
      <c r="O136" s="45"/>
    </row>
    <row r="137" spans="2:15" ht="17.25" customHeight="1" x14ac:dyDescent="0.2">
      <c r="B137" s="32">
        <v>112</v>
      </c>
      <c r="C137" s="32">
        <v>5</v>
      </c>
      <c r="D137" s="38" t="s">
        <v>162</v>
      </c>
      <c r="E137" s="42" t="s">
        <v>176</v>
      </c>
      <c r="F137" s="32" t="s">
        <v>64</v>
      </c>
      <c r="G137" s="67" t="s">
        <v>15</v>
      </c>
      <c r="H137" s="32" t="s">
        <v>52</v>
      </c>
      <c r="I137" s="35">
        <v>46181</v>
      </c>
      <c r="J137" s="35">
        <v>46187</v>
      </c>
      <c r="K137" s="36">
        <v>4</v>
      </c>
      <c r="L137" s="46">
        <v>46183</v>
      </c>
      <c r="M137" s="46">
        <v>46186</v>
      </c>
      <c r="N137" s="42"/>
      <c r="O137" s="45"/>
    </row>
    <row r="138" spans="2:15" ht="17.25" customHeight="1" x14ac:dyDescent="0.2">
      <c r="B138" s="32">
        <v>113</v>
      </c>
      <c r="C138" s="32">
        <v>5</v>
      </c>
      <c r="D138" s="38" t="s">
        <v>162</v>
      </c>
      <c r="E138" s="47" t="s">
        <v>177</v>
      </c>
      <c r="F138" s="32" t="s">
        <v>64</v>
      </c>
      <c r="G138" s="67" t="s">
        <v>12</v>
      </c>
      <c r="H138" s="32" t="s">
        <v>52</v>
      </c>
      <c r="I138" s="35">
        <v>46181</v>
      </c>
      <c r="J138" s="35">
        <v>46187</v>
      </c>
      <c r="K138" s="36">
        <v>3</v>
      </c>
      <c r="L138" s="46">
        <v>46183</v>
      </c>
      <c r="M138" s="46">
        <v>46186</v>
      </c>
      <c r="N138" s="42"/>
      <c r="O138" s="45"/>
    </row>
    <row r="139" spans="2:15" ht="17.25" customHeight="1" x14ac:dyDescent="0.2">
      <c r="B139" s="32">
        <v>114</v>
      </c>
      <c r="C139" s="32">
        <v>5</v>
      </c>
      <c r="D139" s="38" t="s">
        <v>162</v>
      </c>
      <c r="E139" s="42" t="s">
        <v>178</v>
      </c>
      <c r="F139" s="32" t="s">
        <v>64</v>
      </c>
      <c r="G139" s="67" t="s">
        <v>17</v>
      </c>
      <c r="H139" s="32" t="s">
        <v>52</v>
      </c>
      <c r="I139" s="35">
        <v>46181</v>
      </c>
      <c r="J139" s="35">
        <v>46187</v>
      </c>
      <c r="K139" s="36">
        <v>2</v>
      </c>
      <c r="L139" s="46">
        <v>46183</v>
      </c>
      <c r="M139" s="46">
        <v>46186</v>
      </c>
      <c r="N139" s="42"/>
      <c r="O139" s="45"/>
    </row>
    <row r="140" spans="2:15" ht="17.25" customHeight="1" x14ac:dyDescent="0.2">
      <c r="B140" s="32">
        <v>115</v>
      </c>
      <c r="C140" s="32">
        <v>5</v>
      </c>
      <c r="D140" s="38" t="s">
        <v>162</v>
      </c>
      <c r="E140" s="42" t="s">
        <v>179</v>
      </c>
      <c r="F140" s="32" t="s">
        <v>64</v>
      </c>
      <c r="G140" s="67" t="s">
        <v>21</v>
      </c>
      <c r="H140" s="32" t="s">
        <v>52</v>
      </c>
      <c r="I140" s="35">
        <v>46181</v>
      </c>
      <c r="J140" s="35">
        <v>46187</v>
      </c>
      <c r="K140" s="36">
        <v>3</v>
      </c>
      <c r="L140" s="46">
        <v>46183</v>
      </c>
      <c r="M140" s="46">
        <v>46186</v>
      </c>
      <c r="N140" s="42"/>
      <c r="O140" s="45"/>
    </row>
    <row r="141" spans="2:15" ht="17.25" customHeight="1" x14ac:dyDescent="0.2">
      <c r="B141" s="32">
        <v>116</v>
      </c>
      <c r="C141" s="32">
        <v>5</v>
      </c>
      <c r="D141" s="38" t="s">
        <v>162</v>
      </c>
      <c r="E141" s="42" t="s">
        <v>180</v>
      </c>
      <c r="F141" s="32" t="s">
        <v>64</v>
      </c>
      <c r="G141" s="67" t="s">
        <v>15</v>
      </c>
      <c r="H141" s="32" t="s">
        <v>52</v>
      </c>
      <c r="I141" s="35">
        <v>46181</v>
      </c>
      <c r="J141" s="35">
        <v>46187</v>
      </c>
      <c r="K141" s="36">
        <v>4</v>
      </c>
      <c r="L141" s="46">
        <v>46183</v>
      </c>
      <c r="M141" s="46">
        <v>46186</v>
      </c>
      <c r="N141" s="42"/>
      <c r="O141" s="45"/>
    </row>
    <row r="142" spans="2:15" ht="17.25" customHeight="1" x14ac:dyDescent="0.2">
      <c r="B142" s="32">
        <v>117</v>
      </c>
      <c r="C142" s="41">
        <v>5</v>
      </c>
      <c r="D142" s="38" t="s">
        <v>62</v>
      </c>
      <c r="E142" s="42" t="s">
        <v>181</v>
      </c>
      <c r="F142" s="32" t="s">
        <v>64</v>
      </c>
      <c r="G142" s="67" t="s">
        <v>12</v>
      </c>
      <c r="H142" s="32" t="s">
        <v>52</v>
      </c>
      <c r="I142" s="35">
        <v>46181</v>
      </c>
      <c r="J142" s="35">
        <v>46187</v>
      </c>
      <c r="K142" s="36">
        <v>4</v>
      </c>
      <c r="L142" s="46">
        <v>46183</v>
      </c>
      <c r="M142" s="46">
        <v>46186</v>
      </c>
      <c r="N142" s="42"/>
      <c r="O142" s="45"/>
    </row>
    <row r="143" spans="2:15" ht="17.25" customHeight="1" x14ac:dyDescent="0.2">
      <c r="B143" s="32">
        <v>118</v>
      </c>
      <c r="C143" s="41">
        <v>5</v>
      </c>
      <c r="D143" s="38" t="s">
        <v>120</v>
      </c>
      <c r="E143" s="42" t="s">
        <v>182</v>
      </c>
      <c r="F143" s="32" t="s">
        <v>64</v>
      </c>
      <c r="G143" s="67" t="s">
        <v>17</v>
      </c>
      <c r="H143" s="32" t="s">
        <v>52</v>
      </c>
      <c r="I143" s="35">
        <v>46181</v>
      </c>
      <c r="J143" s="35">
        <v>46187</v>
      </c>
      <c r="K143" s="36">
        <v>2</v>
      </c>
      <c r="L143" s="46">
        <v>46183</v>
      </c>
      <c r="M143" s="46">
        <v>46186</v>
      </c>
      <c r="N143" s="42"/>
      <c r="O143" s="45"/>
    </row>
    <row r="144" spans="2:15" ht="17.25" customHeight="1" x14ac:dyDescent="0.2">
      <c r="B144" s="32">
        <v>119</v>
      </c>
      <c r="C144" s="41">
        <v>5</v>
      </c>
      <c r="D144" s="38" t="s">
        <v>62</v>
      </c>
      <c r="E144" s="42" t="s">
        <v>183</v>
      </c>
      <c r="F144" s="32" t="s">
        <v>54</v>
      </c>
      <c r="G144" s="67" t="s">
        <v>21</v>
      </c>
      <c r="H144" s="32" t="s">
        <v>52</v>
      </c>
      <c r="I144" s="35">
        <v>46181</v>
      </c>
      <c r="J144" s="35">
        <v>46187</v>
      </c>
      <c r="K144" s="36">
        <v>3</v>
      </c>
      <c r="L144" s="46">
        <v>46183</v>
      </c>
      <c r="M144" s="46">
        <v>46186</v>
      </c>
      <c r="N144" s="42"/>
      <c r="O144" s="45"/>
    </row>
    <row r="145" spans="2:15" ht="17.25" customHeight="1" x14ac:dyDescent="0.2">
      <c r="B145" s="32">
        <v>120</v>
      </c>
      <c r="C145" s="32">
        <v>6</v>
      </c>
      <c r="D145" s="38" t="s">
        <v>162</v>
      </c>
      <c r="E145" s="42" t="s">
        <v>184</v>
      </c>
      <c r="F145" s="32" t="s">
        <v>64</v>
      </c>
      <c r="G145" s="67" t="s">
        <v>15</v>
      </c>
      <c r="H145" s="32" t="s">
        <v>52</v>
      </c>
      <c r="I145" s="35">
        <v>46188</v>
      </c>
      <c r="J145" s="35">
        <v>46194</v>
      </c>
      <c r="K145" s="36">
        <v>4</v>
      </c>
      <c r="L145" s="46">
        <v>46190</v>
      </c>
      <c r="M145" s="46">
        <v>46193</v>
      </c>
      <c r="N145" s="42"/>
      <c r="O145" s="45"/>
    </row>
    <row r="146" spans="2:15" ht="17.25" customHeight="1" x14ac:dyDescent="0.2">
      <c r="B146" s="32">
        <v>121</v>
      </c>
      <c r="C146" s="32">
        <v>6</v>
      </c>
      <c r="D146" s="38" t="s">
        <v>49</v>
      </c>
      <c r="E146" s="42" t="s">
        <v>185</v>
      </c>
      <c r="F146" s="32" t="s">
        <v>51</v>
      </c>
      <c r="G146" s="67" t="s">
        <v>12</v>
      </c>
      <c r="H146" s="32" t="s">
        <v>52</v>
      </c>
      <c r="I146" s="35">
        <v>46188</v>
      </c>
      <c r="J146" s="35">
        <v>46194</v>
      </c>
      <c r="K146" s="36">
        <v>3</v>
      </c>
      <c r="L146" s="46">
        <v>46190</v>
      </c>
      <c r="M146" s="46">
        <v>46193</v>
      </c>
      <c r="N146" s="42"/>
      <c r="O146" s="45"/>
    </row>
    <row r="147" spans="2:15" ht="17.25" customHeight="1" x14ac:dyDescent="0.2">
      <c r="B147" s="32">
        <v>122</v>
      </c>
      <c r="C147" s="32">
        <v>6</v>
      </c>
      <c r="D147" s="38" t="s">
        <v>86</v>
      </c>
      <c r="E147" s="42" t="s">
        <v>186</v>
      </c>
      <c r="F147" s="32" t="s">
        <v>64</v>
      </c>
      <c r="G147" s="67" t="s">
        <v>17</v>
      </c>
      <c r="H147" s="32" t="s">
        <v>52</v>
      </c>
      <c r="I147" s="35">
        <v>46188</v>
      </c>
      <c r="J147" s="35">
        <v>46194</v>
      </c>
      <c r="K147" s="36">
        <v>2</v>
      </c>
      <c r="L147" s="46">
        <v>46190</v>
      </c>
      <c r="M147" s="46">
        <v>46193</v>
      </c>
      <c r="N147" s="42"/>
      <c r="O147" s="45"/>
    </row>
    <row r="148" spans="2:15" ht="17.25" customHeight="1" x14ac:dyDescent="0.2">
      <c r="B148" s="32">
        <v>123</v>
      </c>
      <c r="C148" s="32">
        <v>6</v>
      </c>
      <c r="D148" s="38" t="s">
        <v>86</v>
      </c>
      <c r="E148" s="42" t="s">
        <v>187</v>
      </c>
      <c r="F148" s="32" t="s">
        <v>64</v>
      </c>
      <c r="G148" s="67" t="s">
        <v>21</v>
      </c>
      <c r="H148" s="32" t="s">
        <v>52</v>
      </c>
      <c r="I148" s="35">
        <v>46188</v>
      </c>
      <c r="J148" s="35">
        <v>46194</v>
      </c>
      <c r="K148" s="36">
        <v>7</v>
      </c>
      <c r="L148" s="46">
        <v>46190</v>
      </c>
      <c r="M148" s="46">
        <v>46193</v>
      </c>
      <c r="N148" s="42"/>
      <c r="O148" s="45"/>
    </row>
    <row r="149" spans="2:15" ht="17.25" customHeight="1" x14ac:dyDescent="0.2">
      <c r="B149" s="32">
        <v>124</v>
      </c>
      <c r="C149" s="32">
        <v>6</v>
      </c>
      <c r="D149" s="38" t="s">
        <v>86</v>
      </c>
      <c r="E149" s="42" t="s">
        <v>188</v>
      </c>
      <c r="F149" s="32" t="s">
        <v>64</v>
      </c>
      <c r="G149" s="67" t="s">
        <v>15</v>
      </c>
      <c r="H149" s="32" t="s">
        <v>52</v>
      </c>
      <c r="I149" s="35">
        <v>46188</v>
      </c>
      <c r="J149" s="35">
        <v>46194</v>
      </c>
      <c r="K149" s="36">
        <v>8</v>
      </c>
      <c r="L149" s="46">
        <v>46190</v>
      </c>
      <c r="M149" s="46">
        <v>46193</v>
      </c>
      <c r="N149" s="42"/>
      <c r="O149" s="45"/>
    </row>
    <row r="150" spans="2:15" ht="17.25" customHeight="1" x14ac:dyDescent="0.2">
      <c r="B150" s="32">
        <v>125</v>
      </c>
      <c r="C150" s="32">
        <v>6</v>
      </c>
      <c r="D150" s="38" t="s">
        <v>86</v>
      </c>
      <c r="E150" s="42" t="s">
        <v>189</v>
      </c>
      <c r="F150" s="32" t="s">
        <v>64</v>
      </c>
      <c r="G150" s="67" t="s">
        <v>12</v>
      </c>
      <c r="H150" s="32" t="s">
        <v>52</v>
      </c>
      <c r="I150" s="35">
        <v>46188</v>
      </c>
      <c r="J150" s="35">
        <v>46194</v>
      </c>
      <c r="K150" s="36">
        <v>5</v>
      </c>
      <c r="L150" s="46">
        <v>46190</v>
      </c>
      <c r="M150" s="46">
        <v>46193</v>
      </c>
      <c r="N150" s="42"/>
      <c r="O150" s="45"/>
    </row>
    <row r="151" spans="2:15" ht="17.25" customHeight="1" x14ac:dyDescent="0.2">
      <c r="B151" s="32">
        <v>126</v>
      </c>
      <c r="C151" s="32">
        <v>6</v>
      </c>
      <c r="D151" s="38" t="s">
        <v>86</v>
      </c>
      <c r="E151" s="42" t="s">
        <v>190</v>
      </c>
      <c r="F151" s="32" t="s">
        <v>64</v>
      </c>
      <c r="G151" s="67" t="s">
        <v>17</v>
      </c>
      <c r="H151" s="32" t="s">
        <v>52</v>
      </c>
      <c r="I151" s="35">
        <v>46188</v>
      </c>
      <c r="J151" s="35">
        <v>46194</v>
      </c>
      <c r="K151" s="36">
        <v>5</v>
      </c>
      <c r="L151" s="46">
        <v>46190</v>
      </c>
      <c r="M151" s="46">
        <v>46193</v>
      </c>
      <c r="N151" s="42"/>
      <c r="O151" s="45"/>
    </row>
    <row r="152" spans="2:15" ht="17.25" customHeight="1" x14ac:dyDescent="0.2">
      <c r="B152" s="32">
        <v>127</v>
      </c>
      <c r="C152" s="32">
        <v>6</v>
      </c>
      <c r="D152" s="38" t="s">
        <v>86</v>
      </c>
      <c r="E152" s="42" t="s">
        <v>191</v>
      </c>
      <c r="F152" s="32" t="s">
        <v>64</v>
      </c>
      <c r="G152" s="67" t="s">
        <v>21</v>
      </c>
      <c r="H152" s="32" t="s">
        <v>52</v>
      </c>
      <c r="I152" s="35">
        <v>46188</v>
      </c>
      <c r="J152" s="35">
        <v>46194</v>
      </c>
      <c r="K152" s="36">
        <v>6</v>
      </c>
      <c r="L152" s="46">
        <v>46190</v>
      </c>
      <c r="M152" s="46">
        <v>46193</v>
      </c>
      <c r="N152" s="42"/>
      <c r="O152" s="45"/>
    </row>
    <row r="153" spans="2:15" ht="17.25" customHeight="1" x14ac:dyDescent="0.2">
      <c r="B153" s="32">
        <v>128</v>
      </c>
      <c r="C153" s="32">
        <v>6</v>
      </c>
      <c r="D153" s="38" t="s">
        <v>86</v>
      </c>
      <c r="E153" s="42" t="s">
        <v>192</v>
      </c>
      <c r="F153" s="32" t="s">
        <v>64</v>
      </c>
      <c r="G153" s="67" t="s">
        <v>15</v>
      </c>
      <c r="H153" s="32" t="s">
        <v>52</v>
      </c>
      <c r="I153" s="35">
        <v>46188</v>
      </c>
      <c r="J153" s="35">
        <v>46194</v>
      </c>
      <c r="K153" s="36">
        <v>8</v>
      </c>
      <c r="L153" s="46">
        <v>46190</v>
      </c>
      <c r="M153" s="46">
        <v>46193</v>
      </c>
      <c r="N153" s="42"/>
      <c r="O153" s="45"/>
    </row>
    <row r="154" spans="2:15" ht="17.25" customHeight="1" x14ac:dyDescent="0.2">
      <c r="B154" s="32">
        <v>129</v>
      </c>
      <c r="C154" s="32">
        <v>6</v>
      </c>
      <c r="D154" s="38" t="s">
        <v>86</v>
      </c>
      <c r="E154" s="42" t="s">
        <v>193</v>
      </c>
      <c r="F154" s="32" t="s">
        <v>64</v>
      </c>
      <c r="G154" s="67" t="s">
        <v>12</v>
      </c>
      <c r="H154" s="32" t="s">
        <v>52</v>
      </c>
      <c r="I154" s="35">
        <v>46188</v>
      </c>
      <c r="J154" s="35">
        <v>46194</v>
      </c>
      <c r="K154" s="36">
        <v>7</v>
      </c>
      <c r="L154" s="46">
        <v>46190</v>
      </c>
      <c r="M154" s="46">
        <v>46193</v>
      </c>
      <c r="N154" s="42"/>
      <c r="O154" s="45"/>
    </row>
    <row r="155" spans="2:15" ht="17.25" customHeight="1" x14ac:dyDescent="0.2">
      <c r="B155" s="32">
        <v>130</v>
      </c>
      <c r="C155" s="32">
        <v>6</v>
      </c>
      <c r="D155" s="38" t="s">
        <v>86</v>
      </c>
      <c r="E155" s="42" t="s">
        <v>194</v>
      </c>
      <c r="F155" s="32" t="s">
        <v>64</v>
      </c>
      <c r="G155" s="67" t="s">
        <v>17</v>
      </c>
      <c r="H155" s="32" t="s">
        <v>52</v>
      </c>
      <c r="I155" s="35">
        <v>46188</v>
      </c>
      <c r="J155" s="35">
        <v>46194</v>
      </c>
      <c r="K155" s="36">
        <v>5</v>
      </c>
      <c r="L155" s="46">
        <v>46190</v>
      </c>
      <c r="M155" s="46">
        <v>46193</v>
      </c>
      <c r="N155" s="42"/>
      <c r="O155" s="45"/>
    </row>
    <row r="156" spans="2:15" ht="17.25" customHeight="1" x14ac:dyDescent="0.2">
      <c r="B156" s="32">
        <v>131</v>
      </c>
      <c r="C156" s="32">
        <v>6</v>
      </c>
      <c r="D156" s="38" t="s">
        <v>86</v>
      </c>
      <c r="E156" s="42" t="s">
        <v>195</v>
      </c>
      <c r="F156" s="32" t="s">
        <v>64</v>
      </c>
      <c r="G156" s="67" t="s">
        <v>21</v>
      </c>
      <c r="H156" s="32" t="s">
        <v>52</v>
      </c>
      <c r="I156" s="35">
        <v>46188</v>
      </c>
      <c r="J156" s="35">
        <v>46194</v>
      </c>
      <c r="K156" s="36">
        <v>6</v>
      </c>
      <c r="L156" s="46">
        <v>46190</v>
      </c>
      <c r="M156" s="46">
        <v>46193</v>
      </c>
      <c r="N156" s="42"/>
      <c r="O156" s="45"/>
    </row>
    <row r="157" spans="2:15" ht="17.25" customHeight="1" x14ac:dyDescent="0.2">
      <c r="B157" s="32">
        <v>132</v>
      </c>
      <c r="C157" s="32">
        <v>6</v>
      </c>
      <c r="D157" s="38" t="s">
        <v>86</v>
      </c>
      <c r="E157" s="42" t="s">
        <v>196</v>
      </c>
      <c r="F157" s="32" t="s">
        <v>64</v>
      </c>
      <c r="G157" s="67" t="s">
        <v>15</v>
      </c>
      <c r="H157" s="32" t="s">
        <v>52</v>
      </c>
      <c r="I157" s="35">
        <v>46188</v>
      </c>
      <c r="J157" s="35">
        <v>46194</v>
      </c>
      <c r="K157" s="36">
        <v>8</v>
      </c>
      <c r="L157" s="46">
        <v>46190</v>
      </c>
      <c r="M157" s="46">
        <v>46193</v>
      </c>
      <c r="N157" s="42"/>
      <c r="O157" s="45"/>
    </row>
    <row r="158" spans="2:15" ht="17.25" customHeight="1" x14ac:dyDescent="0.2">
      <c r="B158" s="32">
        <v>133</v>
      </c>
      <c r="C158" s="32">
        <v>6</v>
      </c>
      <c r="D158" s="38" t="s">
        <v>139</v>
      </c>
      <c r="E158" s="42" t="s">
        <v>197</v>
      </c>
      <c r="F158" s="32" t="s">
        <v>64</v>
      </c>
      <c r="G158" s="67" t="s">
        <v>12</v>
      </c>
      <c r="H158" s="32" t="s">
        <v>52</v>
      </c>
      <c r="I158" s="35">
        <v>46188</v>
      </c>
      <c r="J158" s="35">
        <v>46194</v>
      </c>
      <c r="K158" s="36">
        <v>4</v>
      </c>
      <c r="L158" s="46">
        <v>46190</v>
      </c>
      <c r="M158" s="46">
        <v>46193</v>
      </c>
      <c r="N158" s="42"/>
      <c r="O158" s="45"/>
    </row>
    <row r="159" spans="2:15" ht="17.25" customHeight="1" x14ac:dyDescent="0.2">
      <c r="B159" s="32">
        <v>134</v>
      </c>
      <c r="C159" s="32">
        <v>6</v>
      </c>
      <c r="D159" s="38" t="s">
        <v>139</v>
      </c>
      <c r="E159" s="42" t="s">
        <v>198</v>
      </c>
      <c r="F159" s="32" t="s">
        <v>64</v>
      </c>
      <c r="G159" s="67" t="s">
        <v>17</v>
      </c>
      <c r="H159" s="32" t="s">
        <v>52</v>
      </c>
      <c r="I159" s="35">
        <v>46188</v>
      </c>
      <c r="J159" s="35">
        <v>46194</v>
      </c>
      <c r="K159" s="36">
        <v>3</v>
      </c>
      <c r="L159" s="46">
        <v>46190</v>
      </c>
      <c r="M159" s="46">
        <v>46193</v>
      </c>
      <c r="N159" s="42"/>
      <c r="O159" s="45"/>
    </row>
    <row r="160" spans="2:15" ht="17.25" customHeight="1" x14ac:dyDescent="0.2">
      <c r="B160" s="32">
        <v>135</v>
      </c>
      <c r="C160" s="32">
        <v>6</v>
      </c>
      <c r="D160" s="38" t="s">
        <v>139</v>
      </c>
      <c r="E160" s="42" t="s">
        <v>199</v>
      </c>
      <c r="F160" s="32" t="s">
        <v>64</v>
      </c>
      <c r="G160" s="67" t="s">
        <v>21</v>
      </c>
      <c r="H160" s="32" t="s">
        <v>52</v>
      </c>
      <c r="I160" s="35">
        <v>46188</v>
      </c>
      <c r="J160" s="35">
        <v>46194</v>
      </c>
      <c r="K160" s="36">
        <v>4</v>
      </c>
      <c r="L160" s="46">
        <v>46190</v>
      </c>
      <c r="M160" s="46">
        <v>46193</v>
      </c>
      <c r="N160" s="42"/>
      <c r="O160" s="45"/>
    </row>
    <row r="161" spans="2:15" ht="17.25" customHeight="1" x14ac:dyDescent="0.2">
      <c r="B161" s="32">
        <v>136</v>
      </c>
      <c r="C161" s="32">
        <v>6</v>
      </c>
      <c r="D161" s="38" t="s">
        <v>139</v>
      </c>
      <c r="E161" s="42" t="s">
        <v>200</v>
      </c>
      <c r="F161" s="32" t="s">
        <v>64</v>
      </c>
      <c r="G161" s="67" t="s">
        <v>15</v>
      </c>
      <c r="H161" s="32" t="s">
        <v>52</v>
      </c>
      <c r="I161" s="35">
        <v>46188</v>
      </c>
      <c r="J161" s="35">
        <v>46194</v>
      </c>
      <c r="K161" s="36">
        <v>5</v>
      </c>
      <c r="L161" s="46">
        <v>46190</v>
      </c>
      <c r="M161" s="46">
        <v>46193</v>
      </c>
      <c r="N161" s="42"/>
      <c r="O161" s="45"/>
    </row>
    <row r="162" spans="2:15" ht="17.25" customHeight="1" x14ac:dyDescent="0.2">
      <c r="B162" s="32">
        <v>137</v>
      </c>
      <c r="C162" s="32">
        <v>6</v>
      </c>
      <c r="D162" s="38" t="s">
        <v>71</v>
      </c>
      <c r="E162" s="42" t="s">
        <v>201</v>
      </c>
      <c r="F162" s="32" t="s">
        <v>64</v>
      </c>
      <c r="G162" s="67" t="s">
        <v>12</v>
      </c>
      <c r="H162" s="32" t="s">
        <v>52</v>
      </c>
      <c r="I162" s="35">
        <v>46188</v>
      </c>
      <c r="J162" s="35">
        <v>46194</v>
      </c>
      <c r="K162" s="36">
        <v>3</v>
      </c>
      <c r="L162" s="46">
        <v>46190</v>
      </c>
      <c r="M162" s="46">
        <v>46193</v>
      </c>
      <c r="N162" s="42"/>
      <c r="O162" s="45"/>
    </row>
    <row r="163" spans="2:15" ht="17.25" customHeight="1" x14ac:dyDescent="0.2">
      <c r="B163" s="32">
        <v>138</v>
      </c>
      <c r="C163" s="32">
        <v>6</v>
      </c>
      <c r="D163" s="38" t="s">
        <v>92</v>
      </c>
      <c r="E163" s="47" t="s">
        <v>202</v>
      </c>
      <c r="F163" s="32" t="s">
        <v>64</v>
      </c>
      <c r="G163" s="67" t="s">
        <v>17</v>
      </c>
      <c r="H163" s="32" t="s">
        <v>52</v>
      </c>
      <c r="I163" s="35">
        <v>46188</v>
      </c>
      <c r="J163" s="35">
        <v>46194</v>
      </c>
      <c r="K163" s="36">
        <v>2</v>
      </c>
      <c r="L163" s="46">
        <v>46190</v>
      </c>
      <c r="M163" s="46">
        <v>46193</v>
      </c>
      <c r="N163" s="42"/>
      <c r="O163" s="45"/>
    </row>
    <row r="164" spans="2:15" ht="17.25" customHeight="1" x14ac:dyDescent="0.2">
      <c r="B164" s="32">
        <v>139</v>
      </c>
      <c r="C164" s="32">
        <v>6</v>
      </c>
      <c r="D164" s="38" t="s">
        <v>92</v>
      </c>
      <c r="E164" s="42" t="s">
        <v>203</v>
      </c>
      <c r="F164" s="32" t="s">
        <v>64</v>
      </c>
      <c r="G164" s="67" t="s">
        <v>21</v>
      </c>
      <c r="H164" s="32" t="s">
        <v>52</v>
      </c>
      <c r="I164" s="35">
        <v>46188</v>
      </c>
      <c r="J164" s="35">
        <v>46194</v>
      </c>
      <c r="K164" s="36">
        <v>3</v>
      </c>
      <c r="L164" s="46">
        <v>46190</v>
      </c>
      <c r="M164" s="46">
        <v>46193</v>
      </c>
      <c r="N164" s="42"/>
      <c r="O164" s="45"/>
    </row>
    <row r="165" spans="2:15" ht="17.25" customHeight="1" x14ac:dyDescent="0.2">
      <c r="B165" s="32">
        <v>140</v>
      </c>
      <c r="C165" s="32">
        <v>6</v>
      </c>
      <c r="D165" s="38" t="s">
        <v>92</v>
      </c>
      <c r="E165" s="42" t="s">
        <v>204</v>
      </c>
      <c r="F165" s="32" t="s">
        <v>64</v>
      </c>
      <c r="G165" s="67" t="s">
        <v>15</v>
      </c>
      <c r="H165" s="32" t="s">
        <v>52</v>
      </c>
      <c r="I165" s="35">
        <v>46188</v>
      </c>
      <c r="J165" s="35">
        <v>46194</v>
      </c>
      <c r="K165" s="36">
        <v>4</v>
      </c>
      <c r="L165" s="46">
        <v>46190</v>
      </c>
      <c r="M165" s="46">
        <v>46193</v>
      </c>
      <c r="N165" s="42"/>
      <c r="O165" s="45"/>
    </row>
    <row r="166" spans="2:15" ht="17.25" customHeight="1" x14ac:dyDescent="0.2">
      <c r="B166" s="32">
        <v>141</v>
      </c>
      <c r="C166" s="32">
        <v>6</v>
      </c>
      <c r="D166" s="38" t="s">
        <v>92</v>
      </c>
      <c r="E166" s="42" t="s">
        <v>205</v>
      </c>
      <c r="F166" s="32" t="s">
        <v>64</v>
      </c>
      <c r="G166" s="67" t="s">
        <v>12</v>
      </c>
      <c r="H166" s="32" t="s">
        <v>52</v>
      </c>
      <c r="I166" s="35">
        <v>46188</v>
      </c>
      <c r="J166" s="35">
        <v>46194</v>
      </c>
      <c r="K166" s="36">
        <v>3</v>
      </c>
      <c r="L166" s="46">
        <v>46190</v>
      </c>
      <c r="M166" s="46">
        <v>46193</v>
      </c>
      <c r="N166" s="42"/>
      <c r="O166" s="45"/>
    </row>
    <row r="167" spans="2:15" ht="17.25" customHeight="1" x14ac:dyDescent="0.2">
      <c r="B167" s="32">
        <v>142</v>
      </c>
      <c r="C167" s="32">
        <v>6</v>
      </c>
      <c r="D167" s="38" t="s">
        <v>92</v>
      </c>
      <c r="E167" s="42" t="s">
        <v>206</v>
      </c>
      <c r="F167" s="32" t="s">
        <v>64</v>
      </c>
      <c r="G167" s="67" t="s">
        <v>17</v>
      </c>
      <c r="H167" s="32" t="s">
        <v>52</v>
      </c>
      <c r="I167" s="35">
        <v>46188</v>
      </c>
      <c r="J167" s="35">
        <v>46194</v>
      </c>
      <c r="K167" s="36">
        <v>2</v>
      </c>
      <c r="L167" s="46">
        <v>46190</v>
      </c>
      <c r="M167" s="46">
        <v>46193</v>
      </c>
      <c r="N167" s="42"/>
      <c r="O167" s="45"/>
    </row>
    <row r="168" spans="2:15" ht="17.25" customHeight="1" x14ac:dyDescent="0.2">
      <c r="B168" s="32">
        <v>143</v>
      </c>
      <c r="C168" s="32">
        <v>6</v>
      </c>
      <c r="D168" s="38" t="s">
        <v>92</v>
      </c>
      <c r="E168" s="42" t="s">
        <v>207</v>
      </c>
      <c r="F168" s="32" t="s">
        <v>64</v>
      </c>
      <c r="G168" s="67" t="s">
        <v>21</v>
      </c>
      <c r="H168" s="32" t="s">
        <v>52</v>
      </c>
      <c r="I168" s="35">
        <v>46188</v>
      </c>
      <c r="J168" s="35">
        <v>46194</v>
      </c>
      <c r="K168" s="36">
        <v>3</v>
      </c>
      <c r="L168" s="46">
        <v>46190</v>
      </c>
      <c r="M168" s="46">
        <v>46193</v>
      </c>
      <c r="N168" s="42"/>
      <c r="O168" s="45"/>
    </row>
    <row r="169" spans="2:15" ht="17.25" customHeight="1" x14ac:dyDescent="0.2">
      <c r="B169" s="32">
        <v>144</v>
      </c>
      <c r="C169" s="41">
        <v>6</v>
      </c>
      <c r="D169" s="38" t="s">
        <v>62</v>
      </c>
      <c r="E169" s="42" t="s">
        <v>208</v>
      </c>
      <c r="F169" s="32" t="s">
        <v>64</v>
      </c>
      <c r="G169" s="67" t="s">
        <v>15</v>
      </c>
      <c r="H169" s="32" t="s">
        <v>52</v>
      </c>
      <c r="I169" s="35">
        <v>46188</v>
      </c>
      <c r="J169" s="35">
        <v>46194</v>
      </c>
      <c r="K169" s="36">
        <v>4</v>
      </c>
      <c r="L169" s="46">
        <v>46190</v>
      </c>
      <c r="M169" s="46">
        <v>46193</v>
      </c>
      <c r="N169" s="42"/>
      <c r="O169" s="45"/>
    </row>
    <row r="170" spans="2:15" ht="17.25" customHeight="1" x14ac:dyDescent="0.2">
      <c r="B170" s="32">
        <v>145</v>
      </c>
      <c r="C170" s="41">
        <v>6</v>
      </c>
      <c r="D170" s="38" t="s">
        <v>62</v>
      </c>
      <c r="E170" s="42" t="s">
        <v>209</v>
      </c>
      <c r="F170" s="32" t="s">
        <v>64</v>
      </c>
      <c r="G170" s="67" t="s">
        <v>12</v>
      </c>
      <c r="H170" s="32" t="s">
        <v>52</v>
      </c>
      <c r="I170" s="35">
        <v>46188</v>
      </c>
      <c r="J170" s="35">
        <v>46194</v>
      </c>
      <c r="K170" s="36">
        <v>3</v>
      </c>
      <c r="L170" s="46">
        <v>46190</v>
      </c>
      <c r="M170" s="46">
        <v>46193</v>
      </c>
      <c r="N170" s="42"/>
      <c r="O170" s="45"/>
    </row>
    <row r="171" spans="2:15" ht="17.25" customHeight="1" x14ac:dyDescent="0.2">
      <c r="B171" s="32">
        <v>146</v>
      </c>
      <c r="C171" s="41">
        <v>6</v>
      </c>
      <c r="D171" s="38" t="s">
        <v>49</v>
      </c>
      <c r="E171" s="42" t="s">
        <v>210</v>
      </c>
      <c r="F171" s="32" t="s">
        <v>51</v>
      </c>
      <c r="G171" s="67" t="s">
        <v>17</v>
      </c>
      <c r="H171" s="32" t="s">
        <v>52</v>
      </c>
      <c r="I171" s="35">
        <v>46188</v>
      </c>
      <c r="J171" s="35">
        <v>46194</v>
      </c>
      <c r="K171" s="36">
        <v>5</v>
      </c>
      <c r="L171" s="46">
        <v>46190</v>
      </c>
      <c r="M171" s="46">
        <v>46193</v>
      </c>
      <c r="N171" s="42"/>
      <c r="O171" s="45"/>
    </row>
    <row r="172" spans="2:15" ht="17.25" customHeight="1" x14ac:dyDescent="0.2">
      <c r="B172" s="32">
        <v>147</v>
      </c>
      <c r="C172" s="32">
        <v>7</v>
      </c>
      <c r="D172" s="38" t="s">
        <v>49</v>
      </c>
      <c r="E172" s="42" t="s">
        <v>211</v>
      </c>
      <c r="F172" s="32" t="s">
        <v>51</v>
      </c>
      <c r="G172" s="67" t="s">
        <v>21</v>
      </c>
      <c r="H172" s="32" t="s">
        <v>52</v>
      </c>
      <c r="I172" s="35">
        <v>46195</v>
      </c>
      <c r="J172" s="35">
        <v>46201</v>
      </c>
      <c r="K172" s="36">
        <v>3</v>
      </c>
      <c r="L172" s="46">
        <v>46197</v>
      </c>
      <c r="M172" s="46">
        <v>46200</v>
      </c>
      <c r="N172" s="42"/>
      <c r="O172" s="45"/>
    </row>
    <row r="173" spans="2:15" ht="17.25" customHeight="1" x14ac:dyDescent="0.2">
      <c r="B173" s="32">
        <v>148</v>
      </c>
      <c r="C173" s="32">
        <v>7</v>
      </c>
      <c r="D173" s="38" t="s">
        <v>129</v>
      </c>
      <c r="E173" s="42" t="s">
        <v>199</v>
      </c>
      <c r="F173" s="32" t="s">
        <v>64</v>
      </c>
      <c r="G173" s="67" t="s">
        <v>15</v>
      </c>
      <c r="H173" s="32" t="s">
        <v>52</v>
      </c>
      <c r="I173" s="35">
        <v>46195</v>
      </c>
      <c r="J173" s="35">
        <v>46201</v>
      </c>
      <c r="K173" s="36">
        <v>5</v>
      </c>
      <c r="L173" s="46">
        <v>46197</v>
      </c>
      <c r="M173" s="46">
        <v>46200</v>
      </c>
      <c r="N173" s="42"/>
      <c r="O173" s="45"/>
    </row>
    <row r="174" spans="2:15" ht="17.25" customHeight="1" x14ac:dyDescent="0.2">
      <c r="B174" s="32">
        <v>149</v>
      </c>
      <c r="C174" s="32">
        <v>7</v>
      </c>
      <c r="D174" s="38" t="s">
        <v>129</v>
      </c>
      <c r="E174" s="42" t="s">
        <v>200</v>
      </c>
      <c r="F174" s="32" t="s">
        <v>64</v>
      </c>
      <c r="G174" s="67" t="s">
        <v>12</v>
      </c>
      <c r="H174" s="32" t="s">
        <v>52</v>
      </c>
      <c r="I174" s="35">
        <v>46195</v>
      </c>
      <c r="J174" s="35">
        <v>46201</v>
      </c>
      <c r="K174" s="36">
        <v>4</v>
      </c>
      <c r="L174" s="46">
        <v>46197</v>
      </c>
      <c r="M174" s="46">
        <v>46200</v>
      </c>
      <c r="N174" s="42"/>
      <c r="O174" s="45"/>
    </row>
    <row r="175" spans="2:15" ht="17.25" customHeight="1" x14ac:dyDescent="0.2">
      <c r="B175" s="32">
        <v>150</v>
      </c>
      <c r="C175" s="32">
        <v>7</v>
      </c>
      <c r="D175" s="38" t="s">
        <v>71</v>
      </c>
      <c r="E175" s="42" t="s">
        <v>201</v>
      </c>
      <c r="F175" s="32" t="s">
        <v>64</v>
      </c>
      <c r="G175" s="67" t="s">
        <v>17</v>
      </c>
      <c r="H175" s="32" t="s">
        <v>52</v>
      </c>
      <c r="I175" s="35">
        <v>46195</v>
      </c>
      <c r="J175" s="35">
        <v>46201</v>
      </c>
      <c r="K175" s="36">
        <v>3</v>
      </c>
      <c r="L175" s="46">
        <v>46197</v>
      </c>
      <c r="M175" s="46">
        <v>46200</v>
      </c>
      <c r="N175" s="42"/>
      <c r="O175" s="45"/>
    </row>
    <row r="176" spans="2:15" ht="17.25" customHeight="1" x14ac:dyDescent="0.2">
      <c r="B176" s="32">
        <v>151</v>
      </c>
      <c r="C176" s="32">
        <v>7</v>
      </c>
      <c r="D176" s="38" t="s">
        <v>92</v>
      </c>
      <c r="E176" s="42" t="s">
        <v>212</v>
      </c>
      <c r="F176" s="32" t="s">
        <v>64</v>
      </c>
      <c r="G176" s="67" t="s">
        <v>21</v>
      </c>
      <c r="H176" s="32" t="s">
        <v>52</v>
      </c>
      <c r="I176" s="35">
        <v>46195</v>
      </c>
      <c r="J176" s="35">
        <v>46201</v>
      </c>
      <c r="K176" s="36">
        <v>3</v>
      </c>
      <c r="L176" s="46">
        <v>46197</v>
      </c>
      <c r="M176" s="46">
        <v>46200</v>
      </c>
      <c r="N176" s="42"/>
      <c r="O176" s="45"/>
    </row>
    <row r="177" spans="2:15" ht="17.25" customHeight="1" x14ac:dyDescent="0.2">
      <c r="B177" s="32">
        <v>152</v>
      </c>
      <c r="C177" s="32">
        <v>7</v>
      </c>
      <c r="D177" s="38" t="s">
        <v>92</v>
      </c>
      <c r="E177" s="42" t="s">
        <v>204</v>
      </c>
      <c r="F177" s="32" t="s">
        <v>64</v>
      </c>
      <c r="G177" s="67" t="s">
        <v>15</v>
      </c>
      <c r="H177" s="32" t="s">
        <v>52</v>
      </c>
      <c r="I177" s="35">
        <v>46195</v>
      </c>
      <c r="J177" s="35">
        <v>46201</v>
      </c>
      <c r="K177" s="36">
        <v>4</v>
      </c>
      <c r="L177" s="46">
        <v>46197</v>
      </c>
      <c r="M177" s="46">
        <v>46200</v>
      </c>
      <c r="N177" s="42"/>
      <c r="O177" s="45"/>
    </row>
    <row r="178" spans="2:15" ht="17.25" customHeight="1" x14ac:dyDescent="0.2">
      <c r="B178" s="32">
        <v>153</v>
      </c>
      <c r="C178" s="32">
        <v>7</v>
      </c>
      <c r="D178" s="38" t="s">
        <v>92</v>
      </c>
      <c r="E178" s="42" t="s">
        <v>213</v>
      </c>
      <c r="F178" s="32" t="s">
        <v>64</v>
      </c>
      <c r="G178" s="67" t="s">
        <v>12</v>
      </c>
      <c r="H178" s="32" t="s">
        <v>52</v>
      </c>
      <c r="I178" s="35">
        <v>46195</v>
      </c>
      <c r="J178" s="35">
        <v>46201</v>
      </c>
      <c r="K178" s="36">
        <v>3</v>
      </c>
      <c r="L178" s="46">
        <v>46197</v>
      </c>
      <c r="M178" s="46">
        <v>46200</v>
      </c>
      <c r="N178" s="42"/>
      <c r="O178" s="45"/>
    </row>
    <row r="179" spans="2:15" ht="17.25" customHeight="1" x14ac:dyDescent="0.2">
      <c r="B179" s="32">
        <v>154</v>
      </c>
      <c r="C179" s="32">
        <v>7</v>
      </c>
      <c r="D179" s="38" t="s">
        <v>92</v>
      </c>
      <c r="E179" s="42" t="s">
        <v>206</v>
      </c>
      <c r="F179" s="32" t="s">
        <v>64</v>
      </c>
      <c r="G179" s="67" t="s">
        <v>17</v>
      </c>
      <c r="H179" s="32" t="s">
        <v>52</v>
      </c>
      <c r="I179" s="35">
        <v>46195</v>
      </c>
      <c r="J179" s="35">
        <v>46201</v>
      </c>
      <c r="K179" s="36">
        <v>2</v>
      </c>
      <c r="L179" s="46">
        <v>46197</v>
      </c>
      <c r="M179" s="46">
        <v>46200</v>
      </c>
      <c r="N179" s="42"/>
      <c r="O179" s="45"/>
    </row>
    <row r="180" spans="2:15" ht="17.25" customHeight="1" x14ac:dyDescent="0.2">
      <c r="B180" s="32">
        <v>155</v>
      </c>
      <c r="C180" s="32">
        <v>7</v>
      </c>
      <c r="D180" s="38" t="s">
        <v>92</v>
      </c>
      <c r="E180" s="42" t="s">
        <v>214</v>
      </c>
      <c r="F180" s="32" t="s">
        <v>64</v>
      </c>
      <c r="G180" s="67" t="s">
        <v>21</v>
      </c>
      <c r="H180" s="32" t="s">
        <v>52</v>
      </c>
      <c r="I180" s="35">
        <v>46195</v>
      </c>
      <c r="J180" s="35">
        <v>46201</v>
      </c>
      <c r="K180" s="36">
        <v>3</v>
      </c>
      <c r="L180" s="46">
        <v>46197</v>
      </c>
      <c r="M180" s="46">
        <v>46200</v>
      </c>
      <c r="N180" s="42"/>
      <c r="O180" s="45"/>
    </row>
    <row r="181" spans="2:15" ht="17.25" customHeight="1" x14ac:dyDescent="0.2">
      <c r="B181" s="32">
        <v>156</v>
      </c>
      <c r="C181" s="32">
        <v>7</v>
      </c>
      <c r="D181" s="38" t="s">
        <v>49</v>
      </c>
      <c r="E181" s="42" t="s">
        <v>215</v>
      </c>
      <c r="F181" s="32" t="s">
        <v>51</v>
      </c>
      <c r="G181" s="67" t="s">
        <v>15</v>
      </c>
      <c r="H181" s="32" t="s">
        <v>52</v>
      </c>
      <c r="I181" s="35">
        <v>46195</v>
      </c>
      <c r="J181" s="35">
        <v>46201</v>
      </c>
      <c r="K181" s="36">
        <v>5</v>
      </c>
      <c r="L181" s="46">
        <v>46197</v>
      </c>
      <c r="M181" s="46">
        <v>46200</v>
      </c>
      <c r="N181" s="42"/>
      <c r="O181" s="45"/>
    </row>
    <row r="182" spans="2:15" ht="17.25" customHeight="1" x14ac:dyDescent="0.2">
      <c r="B182" s="32">
        <v>157</v>
      </c>
      <c r="C182" s="32">
        <v>7</v>
      </c>
      <c r="D182" s="38" t="s">
        <v>129</v>
      </c>
      <c r="E182" s="42" t="s">
        <v>216</v>
      </c>
      <c r="F182" s="32" t="s">
        <v>64</v>
      </c>
      <c r="G182" s="67" t="s">
        <v>12</v>
      </c>
      <c r="H182" s="32" t="s">
        <v>52</v>
      </c>
      <c r="I182" s="35">
        <v>46195</v>
      </c>
      <c r="J182" s="35">
        <v>46201</v>
      </c>
      <c r="K182" s="36">
        <v>4</v>
      </c>
      <c r="L182" s="46">
        <v>46197</v>
      </c>
      <c r="M182" s="46">
        <v>46200</v>
      </c>
      <c r="N182" s="42"/>
      <c r="O182" s="45"/>
    </row>
    <row r="183" spans="2:15" ht="17.25" customHeight="1" x14ac:dyDescent="0.2">
      <c r="B183" s="32">
        <v>158</v>
      </c>
      <c r="C183" s="32">
        <v>7</v>
      </c>
      <c r="D183" s="38" t="s">
        <v>129</v>
      </c>
      <c r="E183" s="42" t="s">
        <v>217</v>
      </c>
      <c r="F183" s="32" t="s">
        <v>64</v>
      </c>
      <c r="G183" s="67" t="s">
        <v>17</v>
      </c>
      <c r="H183" s="32" t="s">
        <v>52</v>
      </c>
      <c r="I183" s="35">
        <v>46195</v>
      </c>
      <c r="J183" s="35">
        <v>46201</v>
      </c>
      <c r="K183" s="36">
        <v>3</v>
      </c>
      <c r="L183" s="46">
        <v>46197</v>
      </c>
      <c r="M183" s="46">
        <v>46200</v>
      </c>
      <c r="N183" s="42"/>
      <c r="O183" s="45"/>
    </row>
    <row r="184" spans="2:15" ht="17.25" customHeight="1" x14ac:dyDescent="0.2">
      <c r="B184" s="32">
        <v>159</v>
      </c>
      <c r="C184" s="32">
        <v>7</v>
      </c>
      <c r="D184" s="38" t="s">
        <v>129</v>
      </c>
      <c r="E184" s="42" t="s">
        <v>218</v>
      </c>
      <c r="F184" s="32" t="s">
        <v>64</v>
      </c>
      <c r="G184" s="67" t="s">
        <v>21</v>
      </c>
      <c r="H184" s="32" t="s">
        <v>52</v>
      </c>
      <c r="I184" s="35">
        <v>46195</v>
      </c>
      <c r="J184" s="35">
        <v>46201</v>
      </c>
      <c r="K184" s="36">
        <v>4</v>
      </c>
      <c r="L184" s="46">
        <v>46197</v>
      </c>
      <c r="M184" s="46">
        <v>46200</v>
      </c>
      <c r="N184" s="42"/>
      <c r="O184" s="45"/>
    </row>
    <row r="185" spans="2:15" ht="17.25" customHeight="1" x14ac:dyDescent="0.2">
      <c r="B185" s="32">
        <v>160</v>
      </c>
      <c r="C185" s="32">
        <v>7</v>
      </c>
      <c r="D185" s="38" t="s">
        <v>139</v>
      </c>
      <c r="E185" s="42" t="s">
        <v>219</v>
      </c>
      <c r="F185" s="32" t="s">
        <v>64</v>
      </c>
      <c r="G185" s="67" t="s">
        <v>15</v>
      </c>
      <c r="H185" s="32" t="s">
        <v>52</v>
      </c>
      <c r="I185" s="35">
        <v>46195</v>
      </c>
      <c r="J185" s="35">
        <v>46201</v>
      </c>
      <c r="K185" s="36">
        <v>5</v>
      </c>
      <c r="L185" s="46">
        <v>46197</v>
      </c>
      <c r="M185" s="46">
        <v>46200</v>
      </c>
      <c r="N185" s="42"/>
      <c r="O185" s="45"/>
    </row>
    <row r="186" spans="2:15" ht="17.25" customHeight="1" x14ac:dyDescent="0.2">
      <c r="B186" s="32">
        <v>161</v>
      </c>
      <c r="C186" s="32">
        <v>7</v>
      </c>
      <c r="D186" s="38" t="s">
        <v>129</v>
      </c>
      <c r="E186" s="42" t="s">
        <v>218</v>
      </c>
      <c r="F186" s="32" t="s">
        <v>64</v>
      </c>
      <c r="G186" s="67" t="s">
        <v>12</v>
      </c>
      <c r="H186" s="32" t="s">
        <v>52</v>
      </c>
      <c r="I186" s="35">
        <v>46195</v>
      </c>
      <c r="J186" s="35">
        <v>46201</v>
      </c>
      <c r="K186" s="36">
        <v>4</v>
      </c>
      <c r="L186" s="46">
        <v>46197</v>
      </c>
      <c r="M186" s="46">
        <v>46200</v>
      </c>
      <c r="N186" s="42"/>
      <c r="O186" s="45"/>
    </row>
    <row r="187" spans="2:15" ht="17.25" customHeight="1" x14ac:dyDescent="0.2">
      <c r="B187" s="32">
        <v>162</v>
      </c>
      <c r="C187" s="32">
        <v>7</v>
      </c>
      <c r="D187" s="38" t="s">
        <v>139</v>
      </c>
      <c r="E187" s="42" t="s">
        <v>219</v>
      </c>
      <c r="F187" s="32" t="s">
        <v>64</v>
      </c>
      <c r="G187" s="67" t="s">
        <v>17</v>
      </c>
      <c r="H187" s="32" t="s">
        <v>52</v>
      </c>
      <c r="I187" s="35">
        <v>46195</v>
      </c>
      <c r="J187" s="35">
        <v>46201</v>
      </c>
      <c r="K187" s="36">
        <v>3</v>
      </c>
      <c r="L187" s="46">
        <v>46197</v>
      </c>
      <c r="M187" s="46">
        <v>46200</v>
      </c>
      <c r="N187" s="42"/>
      <c r="O187" s="45"/>
    </row>
    <row r="188" spans="2:15" ht="17.25" customHeight="1" x14ac:dyDescent="0.2">
      <c r="B188" s="32">
        <v>163</v>
      </c>
      <c r="C188" s="32">
        <v>7</v>
      </c>
      <c r="D188" s="38" t="s">
        <v>139</v>
      </c>
      <c r="E188" s="42" t="s">
        <v>220</v>
      </c>
      <c r="F188" s="32" t="s">
        <v>64</v>
      </c>
      <c r="G188" s="67" t="s">
        <v>21</v>
      </c>
      <c r="H188" s="32" t="s">
        <v>52</v>
      </c>
      <c r="I188" s="35">
        <v>46195</v>
      </c>
      <c r="J188" s="35">
        <v>46201</v>
      </c>
      <c r="K188" s="36">
        <v>4</v>
      </c>
      <c r="L188" s="46">
        <v>46197</v>
      </c>
      <c r="M188" s="46">
        <v>46200</v>
      </c>
      <c r="N188" s="42"/>
      <c r="O188" s="45"/>
    </row>
    <row r="189" spans="2:15" ht="17.25" customHeight="1" x14ac:dyDescent="0.2">
      <c r="B189" s="32">
        <v>164</v>
      </c>
      <c r="C189" s="32">
        <v>7</v>
      </c>
      <c r="D189" s="38" t="s">
        <v>129</v>
      </c>
      <c r="E189" s="42" t="s">
        <v>221</v>
      </c>
      <c r="F189" s="32" t="s">
        <v>64</v>
      </c>
      <c r="G189" s="67" t="s">
        <v>15</v>
      </c>
      <c r="H189" s="32" t="s">
        <v>52</v>
      </c>
      <c r="I189" s="35">
        <v>46195</v>
      </c>
      <c r="J189" s="35">
        <v>46201</v>
      </c>
      <c r="K189" s="36">
        <v>5</v>
      </c>
      <c r="L189" s="46">
        <v>46197</v>
      </c>
      <c r="M189" s="46">
        <v>46200</v>
      </c>
      <c r="N189" s="42"/>
      <c r="O189" s="45"/>
    </row>
    <row r="190" spans="2:15" ht="17.25" customHeight="1" x14ac:dyDescent="0.2">
      <c r="B190" s="32">
        <v>165</v>
      </c>
      <c r="C190" s="32">
        <v>7</v>
      </c>
      <c r="D190" s="38" t="s">
        <v>129</v>
      </c>
      <c r="E190" s="42" t="s">
        <v>222</v>
      </c>
      <c r="F190" s="32" t="s">
        <v>64</v>
      </c>
      <c r="G190" s="67" t="s">
        <v>12</v>
      </c>
      <c r="H190" s="32" t="s">
        <v>52</v>
      </c>
      <c r="I190" s="35">
        <v>46195</v>
      </c>
      <c r="J190" s="35">
        <v>46201</v>
      </c>
      <c r="K190" s="36">
        <v>4</v>
      </c>
      <c r="L190" s="46">
        <v>46197</v>
      </c>
      <c r="M190" s="46">
        <v>46200</v>
      </c>
      <c r="N190" s="42"/>
      <c r="O190" s="45"/>
    </row>
    <row r="191" spans="2:15" ht="17.25" customHeight="1" x14ac:dyDescent="0.2">
      <c r="B191" s="32">
        <v>166</v>
      </c>
      <c r="C191" s="32">
        <v>7</v>
      </c>
      <c r="D191" s="38" t="s">
        <v>129</v>
      </c>
      <c r="E191" s="42" t="s">
        <v>223</v>
      </c>
      <c r="F191" s="32" t="s">
        <v>64</v>
      </c>
      <c r="G191" s="67" t="s">
        <v>17</v>
      </c>
      <c r="H191" s="32" t="s">
        <v>52</v>
      </c>
      <c r="I191" s="35">
        <v>46195</v>
      </c>
      <c r="J191" s="35">
        <v>46201</v>
      </c>
      <c r="K191" s="36">
        <v>3</v>
      </c>
      <c r="L191" s="46">
        <v>46197</v>
      </c>
      <c r="M191" s="46">
        <v>46200</v>
      </c>
      <c r="N191" s="42"/>
      <c r="O191" s="45"/>
    </row>
    <row r="192" spans="2:15" ht="17.25" customHeight="1" x14ac:dyDescent="0.2">
      <c r="B192" s="32">
        <v>167</v>
      </c>
      <c r="C192" s="32">
        <v>7</v>
      </c>
      <c r="D192" s="38" t="s">
        <v>129</v>
      </c>
      <c r="E192" s="42" t="s">
        <v>224</v>
      </c>
      <c r="F192" s="32" t="s">
        <v>64</v>
      </c>
      <c r="G192" s="67" t="s">
        <v>21</v>
      </c>
      <c r="H192" s="32" t="s">
        <v>52</v>
      </c>
      <c r="I192" s="35">
        <v>46195</v>
      </c>
      <c r="J192" s="35">
        <v>46201</v>
      </c>
      <c r="K192" s="36">
        <v>4</v>
      </c>
      <c r="L192" s="46">
        <v>46197</v>
      </c>
      <c r="M192" s="46">
        <v>46200</v>
      </c>
      <c r="N192" s="42"/>
      <c r="O192" s="45"/>
    </row>
    <row r="193" spans="2:15" ht="17.25" customHeight="1" x14ac:dyDescent="0.2">
      <c r="B193" s="32">
        <v>168</v>
      </c>
      <c r="C193" s="32">
        <v>7</v>
      </c>
      <c r="D193" s="38" t="s">
        <v>129</v>
      </c>
      <c r="E193" s="42" t="s">
        <v>225</v>
      </c>
      <c r="F193" s="32" t="s">
        <v>64</v>
      </c>
      <c r="G193" s="67" t="s">
        <v>15</v>
      </c>
      <c r="H193" s="32" t="s">
        <v>52</v>
      </c>
      <c r="I193" s="35">
        <v>46195</v>
      </c>
      <c r="J193" s="35">
        <v>46201</v>
      </c>
      <c r="K193" s="36">
        <v>5</v>
      </c>
      <c r="L193" s="46">
        <v>46197</v>
      </c>
      <c r="M193" s="46">
        <v>46200</v>
      </c>
      <c r="N193" s="42"/>
      <c r="O193" s="45"/>
    </row>
    <row r="194" spans="2:15" ht="17.25" customHeight="1" x14ac:dyDescent="0.2">
      <c r="B194" s="32">
        <v>169</v>
      </c>
      <c r="C194" s="41">
        <v>7</v>
      </c>
      <c r="D194" s="38" t="s">
        <v>62</v>
      </c>
      <c r="E194" s="42" t="s">
        <v>226</v>
      </c>
      <c r="F194" s="32" t="s">
        <v>64</v>
      </c>
      <c r="G194" s="67" t="s">
        <v>12</v>
      </c>
      <c r="H194" s="32" t="s">
        <v>52</v>
      </c>
      <c r="I194" s="35">
        <v>46195</v>
      </c>
      <c r="J194" s="35">
        <v>46201</v>
      </c>
      <c r="K194" s="36">
        <v>3</v>
      </c>
      <c r="L194" s="46">
        <v>46197</v>
      </c>
      <c r="M194" s="46">
        <v>46200</v>
      </c>
      <c r="N194" s="42"/>
      <c r="O194" s="45"/>
    </row>
    <row r="195" spans="2:15" ht="17.25" customHeight="1" x14ac:dyDescent="0.2">
      <c r="B195" s="32">
        <v>170</v>
      </c>
      <c r="C195" s="41">
        <v>7</v>
      </c>
      <c r="D195" s="38" t="s">
        <v>62</v>
      </c>
      <c r="E195" s="42" t="s">
        <v>227</v>
      </c>
      <c r="F195" s="32" t="s">
        <v>64</v>
      </c>
      <c r="G195" s="67" t="s">
        <v>17</v>
      </c>
      <c r="H195" s="32" t="s">
        <v>52</v>
      </c>
      <c r="I195" s="35">
        <v>46195</v>
      </c>
      <c r="J195" s="35">
        <v>46201</v>
      </c>
      <c r="K195" s="36">
        <v>2</v>
      </c>
      <c r="L195" s="46">
        <v>46197</v>
      </c>
      <c r="M195" s="46">
        <v>46200</v>
      </c>
      <c r="N195" s="42"/>
      <c r="O195" s="45"/>
    </row>
    <row r="196" spans="2:15" ht="17.25" customHeight="1" x14ac:dyDescent="0.2">
      <c r="B196" s="32">
        <v>171</v>
      </c>
      <c r="C196" s="41">
        <v>7</v>
      </c>
      <c r="D196" s="38" t="s">
        <v>62</v>
      </c>
      <c r="E196" s="42" t="s">
        <v>228</v>
      </c>
      <c r="F196" s="32" t="s">
        <v>64</v>
      </c>
      <c r="G196" s="67" t="s">
        <v>21</v>
      </c>
      <c r="H196" s="32" t="s">
        <v>52</v>
      </c>
      <c r="I196" s="35">
        <v>46195</v>
      </c>
      <c r="J196" s="35">
        <v>46201</v>
      </c>
      <c r="K196" s="36">
        <v>3</v>
      </c>
      <c r="L196" s="46">
        <v>46197</v>
      </c>
      <c r="M196" s="46">
        <v>46200</v>
      </c>
      <c r="N196" s="42"/>
      <c r="O196" s="45"/>
    </row>
    <row r="197" spans="2:15" ht="17.25" customHeight="1" x14ac:dyDescent="0.2">
      <c r="B197" s="32">
        <v>172</v>
      </c>
      <c r="C197" s="41">
        <v>7</v>
      </c>
      <c r="D197" s="38" t="s">
        <v>62</v>
      </c>
      <c r="E197" s="42" t="s">
        <v>229</v>
      </c>
      <c r="F197" s="32" t="s">
        <v>64</v>
      </c>
      <c r="G197" s="67" t="s">
        <v>15</v>
      </c>
      <c r="H197" s="32" t="s">
        <v>52</v>
      </c>
      <c r="I197" s="35">
        <v>46195</v>
      </c>
      <c r="J197" s="35">
        <v>46201</v>
      </c>
      <c r="K197" s="36">
        <v>4</v>
      </c>
      <c r="L197" s="46">
        <v>46197</v>
      </c>
      <c r="M197" s="46">
        <v>46200</v>
      </c>
      <c r="N197" s="42"/>
      <c r="O197" s="45"/>
    </row>
    <row r="198" spans="2:15" ht="17.25" customHeight="1" x14ac:dyDescent="0.2">
      <c r="B198" s="32">
        <v>173</v>
      </c>
      <c r="C198" s="41">
        <v>7</v>
      </c>
      <c r="D198" s="38" t="s">
        <v>62</v>
      </c>
      <c r="E198" s="42" t="s">
        <v>230</v>
      </c>
      <c r="F198" s="32" t="s">
        <v>64</v>
      </c>
      <c r="G198" s="67" t="s">
        <v>12</v>
      </c>
      <c r="H198" s="32" t="s">
        <v>52</v>
      </c>
      <c r="I198" s="35">
        <v>46195</v>
      </c>
      <c r="J198" s="35">
        <v>46201</v>
      </c>
      <c r="K198" s="36">
        <v>3</v>
      </c>
      <c r="L198" s="46">
        <v>46197</v>
      </c>
      <c r="M198" s="46">
        <v>46200</v>
      </c>
      <c r="N198" s="42"/>
      <c r="O198" s="45"/>
    </row>
    <row r="199" spans="2:15" ht="17.25" customHeight="1" x14ac:dyDescent="0.2">
      <c r="B199" s="32">
        <v>174</v>
      </c>
      <c r="C199" s="32">
        <v>8</v>
      </c>
      <c r="D199" s="38" t="s">
        <v>129</v>
      </c>
      <c r="E199" s="42" t="s">
        <v>231</v>
      </c>
      <c r="F199" s="32" t="s">
        <v>64</v>
      </c>
      <c r="G199" s="67" t="s">
        <v>17</v>
      </c>
      <c r="H199" s="32" t="s">
        <v>52</v>
      </c>
      <c r="I199" s="35">
        <v>46202</v>
      </c>
      <c r="J199" s="35">
        <v>46208</v>
      </c>
      <c r="K199" s="36">
        <v>2</v>
      </c>
      <c r="L199" s="46">
        <v>46205</v>
      </c>
      <c r="M199" s="46">
        <v>46207</v>
      </c>
      <c r="N199" s="42"/>
      <c r="O199" s="45"/>
    </row>
    <row r="200" spans="2:15" ht="17.25" customHeight="1" x14ac:dyDescent="0.2">
      <c r="B200" s="32">
        <v>175</v>
      </c>
      <c r="C200" s="32">
        <v>8</v>
      </c>
      <c r="D200" s="38" t="s">
        <v>129</v>
      </c>
      <c r="E200" s="42" t="s">
        <v>232</v>
      </c>
      <c r="F200" s="32" t="s">
        <v>64</v>
      </c>
      <c r="G200" s="67" t="s">
        <v>21</v>
      </c>
      <c r="H200" s="32" t="s">
        <v>52</v>
      </c>
      <c r="I200" s="35">
        <v>46202</v>
      </c>
      <c r="J200" s="35">
        <v>46208</v>
      </c>
      <c r="K200" s="36">
        <v>3</v>
      </c>
      <c r="L200" s="46">
        <v>46205</v>
      </c>
      <c r="M200" s="46">
        <v>46207</v>
      </c>
      <c r="N200" s="42"/>
      <c r="O200" s="45"/>
    </row>
    <row r="201" spans="2:15" ht="17.25" customHeight="1" x14ac:dyDescent="0.2">
      <c r="B201" s="32">
        <v>176</v>
      </c>
      <c r="C201" s="32">
        <v>8</v>
      </c>
      <c r="D201" s="38" t="s">
        <v>129</v>
      </c>
      <c r="E201" s="42" t="s">
        <v>233</v>
      </c>
      <c r="F201" s="32" t="s">
        <v>64</v>
      </c>
      <c r="G201" s="67" t="s">
        <v>15</v>
      </c>
      <c r="H201" s="32" t="s">
        <v>52</v>
      </c>
      <c r="I201" s="35">
        <v>46202</v>
      </c>
      <c r="J201" s="35">
        <v>46208</v>
      </c>
      <c r="K201" s="36">
        <v>4</v>
      </c>
      <c r="L201" s="46">
        <v>46205</v>
      </c>
      <c r="M201" s="46">
        <v>46207</v>
      </c>
      <c r="N201" s="42"/>
      <c r="O201" s="45"/>
    </row>
    <row r="202" spans="2:15" ht="17.25" customHeight="1" x14ac:dyDescent="0.2">
      <c r="B202" s="32">
        <v>177</v>
      </c>
      <c r="C202" s="32">
        <v>8</v>
      </c>
      <c r="D202" s="38" t="s">
        <v>129</v>
      </c>
      <c r="E202" s="42" t="s">
        <v>234</v>
      </c>
      <c r="F202" s="32" t="s">
        <v>64</v>
      </c>
      <c r="G202" s="67" t="s">
        <v>12</v>
      </c>
      <c r="H202" s="32" t="s">
        <v>52</v>
      </c>
      <c r="I202" s="35">
        <v>46202</v>
      </c>
      <c r="J202" s="35">
        <v>46208</v>
      </c>
      <c r="K202" s="36">
        <v>3</v>
      </c>
      <c r="L202" s="46">
        <v>46205</v>
      </c>
      <c r="M202" s="46">
        <v>46207</v>
      </c>
      <c r="N202" s="42"/>
      <c r="O202" s="45"/>
    </row>
    <row r="203" spans="2:15" ht="17.25" customHeight="1" x14ac:dyDescent="0.2">
      <c r="B203" s="32">
        <v>178</v>
      </c>
      <c r="C203" s="32">
        <v>8</v>
      </c>
      <c r="D203" s="38" t="s">
        <v>129</v>
      </c>
      <c r="E203" s="42" t="s">
        <v>235</v>
      </c>
      <c r="F203" s="32" t="s">
        <v>64</v>
      </c>
      <c r="G203" s="67" t="s">
        <v>17</v>
      </c>
      <c r="H203" s="32" t="s">
        <v>52</v>
      </c>
      <c r="I203" s="35">
        <v>46202</v>
      </c>
      <c r="J203" s="35">
        <v>46208</v>
      </c>
      <c r="K203" s="36">
        <v>2</v>
      </c>
      <c r="L203" s="46">
        <v>46205</v>
      </c>
      <c r="M203" s="46">
        <v>46207</v>
      </c>
      <c r="N203" s="42"/>
      <c r="O203" s="45"/>
    </row>
    <row r="204" spans="2:15" ht="17.25" customHeight="1" x14ac:dyDescent="0.2">
      <c r="B204" s="32">
        <v>179</v>
      </c>
      <c r="C204" s="32">
        <v>8</v>
      </c>
      <c r="D204" s="38" t="s">
        <v>129</v>
      </c>
      <c r="E204" s="42" t="s">
        <v>236</v>
      </c>
      <c r="F204" s="32" t="s">
        <v>64</v>
      </c>
      <c r="G204" s="67" t="s">
        <v>21</v>
      </c>
      <c r="H204" s="32" t="s">
        <v>52</v>
      </c>
      <c r="I204" s="35">
        <v>46202</v>
      </c>
      <c r="J204" s="35">
        <v>46208</v>
      </c>
      <c r="K204" s="36">
        <v>3</v>
      </c>
      <c r="L204" s="46">
        <v>46205</v>
      </c>
      <c r="M204" s="46">
        <v>46207</v>
      </c>
      <c r="N204" s="42"/>
      <c r="O204" s="45"/>
    </row>
    <row r="205" spans="2:15" ht="17.25" customHeight="1" x14ac:dyDescent="0.2">
      <c r="B205" s="32">
        <v>180</v>
      </c>
      <c r="C205" s="32">
        <v>8</v>
      </c>
      <c r="D205" s="38" t="s">
        <v>116</v>
      </c>
      <c r="E205" s="42" t="s">
        <v>237</v>
      </c>
      <c r="F205" s="32" t="s">
        <v>64</v>
      </c>
      <c r="G205" s="67" t="s">
        <v>15</v>
      </c>
      <c r="H205" s="32" t="s">
        <v>52</v>
      </c>
      <c r="I205" s="35">
        <v>46202</v>
      </c>
      <c r="J205" s="35">
        <v>46208</v>
      </c>
      <c r="K205" s="36">
        <v>6</v>
      </c>
      <c r="L205" s="46">
        <v>46205</v>
      </c>
      <c r="M205" s="46">
        <v>46207</v>
      </c>
      <c r="N205" s="42"/>
      <c r="O205" s="45"/>
    </row>
    <row r="206" spans="2:15" ht="17.25" customHeight="1" x14ac:dyDescent="0.2">
      <c r="B206" s="32">
        <v>181</v>
      </c>
      <c r="C206" s="32">
        <v>8</v>
      </c>
      <c r="D206" s="38" t="s">
        <v>116</v>
      </c>
      <c r="E206" s="42" t="s">
        <v>238</v>
      </c>
      <c r="F206" s="32" t="s">
        <v>64</v>
      </c>
      <c r="G206" s="67" t="s">
        <v>12</v>
      </c>
      <c r="H206" s="32" t="s">
        <v>52</v>
      </c>
      <c r="I206" s="35">
        <v>46202</v>
      </c>
      <c r="J206" s="35">
        <v>46208</v>
      </c>
      <c r="K206" s="36">
        <v>5</v>
      </c>
      <c r="L206" s="46">
        <v>46205</v>
      </c>
      <c r="M206" s="46">
        <v>46207</v>
      </c>
      <c r="N206" s="42"/>
      <c r="O206" s="45"/>
    </row>
    <row r="207" spans="2:15" ht="17.25" customHeight="1" x14ac:dyDescent="0.2">
      <c r="B207" s="32">
        <v>182</v>
      </c>
      <c r="C207" s="32">
        <v>8</v>
      </c>
      <c r="D207" s="38" t="s">
        <v>116</v>
      </c>
      <c r="E207" s="42" t="s">
        <v>239</v>
      </c>
      <c r="F207" s="32" t="s">
        <v>64</v>
      </c>
      <c r="G207" s="67" t="s">
        <v>17</v>
      </c>
      <c r="H207" s="32" t="s">
        <v>52</v>
      </c>
      <c r="I207" s="35">
        <v>46202</v>
      </c>
      <c r="J207" s="35">
        <v>46208</v>
      </c>
      <c r="K207" s="36">
        <v>4</v>
      </c>
      <c r="L207" s="46">
        <v>46205</v>
      </c>
      <c r="M207" s="46">
        <v>46207</v>
      </c>
      <c r="N207" s="42"/>
      <c r="O207" s="45"/>
    </row>
    <row r="208" spans="2:15" ht="17.25" customHeight="1" x14ac:dyDescent="0.2">
      <c r="B208" s="32">
        <v>183</v>
      </c>
      <c r="C208" s="32">
        <v>8</v>
      </c>
      <c r="D208" s="38" t="s">
        <v>116</v>
      </c>
      <c r="E208" s="42" t="s">
        <v>240</v>
      </c>
      <c r="F208" s="32" t="s">
        <v>64</v>
      </c>
      <c r="G208" s="67" t="s">
        <v>21</v>
      </c>
      <c r="H208" s="32" t="s">
        <v>52</v>
      </c>
      <c r="I208" s="35">
        <v>46202</v>
      </c>
      <c r="J208" s="35">
        <v>46208</v>
      </c>
      <c r="K208" s="36">
        <v>5</v>
      </c>
      <c r="L208" s="46">
        <v>46205</v>
      </c>
      <c r="M208" s="46">
        <v>46207</v>
      </c>
      <c r="N208" s="42"/>
      <c r="O208" s="45"/>
    </row>
    <row r="209" spans="2:15" ht="17.25" customHeight="1" x14ac:dyDescent="0.2">
      <c r="B209" s="32">
        <v>184</v>
      </c>
      <c r="C209" s="32">
        <v>8</v>
      </c>
      <c r="D209" s="38" t="s">
        <v>116</v>
      </c>
      <c r="E209" s="42" t="s">
        <v>241</v>
      </c>
      <c r="F209" s="32" t="s">
        <v>64</v>
      </c>
      <c r="G209" s="67" t="s">
        <v>12</v>
      </c>
      <c r="H209" s="32" t="s">
        <v>52</v>
      </c>
      <c r="I209" s="35">
        <v>46202</v>
      </c>
      <c r="J209" s="35">
        <v>46208</v>
      </c>
      <c r="K209" s="36">
        <v>5</v>
      </c>
      <c r="L209" s="46">
        <v>46205</v>
      </c>
      <c r="M209" s="46">
        <v>46207</v>
      </c>
      <c r="N209" s="42"/>
      <c r="O209" s="45"/>
    </row>
    <row r="210" spans="2:15" ht="17.25" customHeight="1" x14ac:dyDescent="0.2">
      <c r="B210" s="32">
        <v>185</v>
      </c>
      <c r="C210" s="32">
        <v>8</v>
      </c>
      <c r="D210" s="38" t="s">
        <v>116</v>
      </c>
      <c r="E210" s="42" t="s">
        <v>242</v>
      </c>
      <c r="F210" s="32" t="s">
        <v>64</v>
      </c>
      <c r="G210" s="67" t="s">
        <v>17</v>
      </c>
      <c r="H210" s="32" t="s">
        <v>52</v>
      </c>
      <c r="I210" s="35">
        <v>46202</v>
      </c>
      <c r="J210" s="35">
        <v>46208</v>
      </c>
      <c r="K210" s="36">
        <v>4</v>
      </c>
      <c r="L210" s="46">
        <v>46205</v>
      </c>
      <c r="M210" s="46">
        <v>46207</v>
      </c>
      <c r="N210" s="42"/>
      <c r="O210" s="45"/>
    </row>
    <row r="211" spans="2:15" ht="17.25" customHeight="1" x14ac:dyDescent="0.2">
      <c r="B211" s="32">
        <v>186</v>
      </c>
      <c r="C211" s="32">
        <v>8</v>
      </c>
      <c r="D211" s="38" t="s">
        <v>116</v>
      </c>
      <c r="E211" s="42" t="s">
        <v>243</v>
      </c>
      <c r="F211" s="32" t="s">
        <v>64</v>
      </c>
      <c r="G211" s="67" t="s">
        <v>21</v>
      </c>
      <c r="H211" s="32" t="s">
        <v>52</v>
      </c>
      <c r="I211" s="35">
        <v>46202</v>
      </c>
      <c r="J211" s="35">
        <v>46208</v>
      </c>
      <c r="K211" s="36">
        <v>5</v>
      </c>
      <c r="L211" s="46">
        <v>46205</v>
      </c>
      <c r="M211" s="46">
        <v>46207</v>
      </c>
      <c r="N211" s="42"/>
      <c r="O211" s="45"/>
    </row>
    <row r="212" spans="2:15" ht="17.25" customHeight="1" x14ac:dyDescent="0.2">
      <c r="B212" s="32">
        <v>187</v>
      </c>
      <c r="C212" s="32">
        <v>8</v>
      </c>
      <c r="D212" s="38" t="s">
        <v>116</v>
      </c>
      <c r="E212" s="42" t="s">
        <v>244</v>
      </c>
      <c r="F212" s="32" t="s">
        <v>64</v>
      </c>
      <c r="G212" s="67" t="s">
        <v>12</v>
      </c>
      <c r="H212" s="32" t="s">
        <v>52</v>
      </c>
      <c r="I212" s="35">
        <v>46202</v>
      </c>
      <c r="J212" s="35">
        <v>46208</v>
      </c>
      <c r="K212" s="36">
        <v>5</v>
      </c>
      <c r="L212" s="46">
        <v>46205</v>
      </c>
      <c r="M212" s="46">
        <v>46207</v>
      </c>
      <c r="N212" s="42"/>
      <c r="O212" s="45"/>
    </row>
    <row r="213" spans="2:15" ht="17.25" customHeight="1" x14ac:dyDescent="0.2">
      <c r="B213" s="32">
        <v>188</v>
      </c>
      <c r="C213" s="32">
        <v>8</v>
      </c>
      <c r="D213" s="38" t="s">
        <v>116</v>
      </c>
      <c r="E213" s="42" t="s">
        <v>245</v>
      </c>
      <c r="F213" s="32" t="s">
        <v>64</v>
      </c>
      <c r="G213" s="67" t="s">
        <v>17</v>
      </c>
      <c r="H213" s="32" t="s">
        <v>52</v>
      </c>
      <c r="I213" s="35">
        <v>46202</v>
      </c>
      <c r="J213" s="35">
        <v>46208</v>
      </c>
      <c r="K213" s="36">
        <v>4</v>
      </c>
      <c r="L213" s="46">
        <v>46205</v>
      </c>
      <c r="M213" s="46">
        <v>46207</v>
      </c>
      <c r="N213" s="42"/>
      <c r="O213" s="45"/>
    </row>
    <row r="214" spans="2:15" ht="17.25" customHeight="1" x14ac:dyDescent="0.2">
      <c r="B214" s="32">
        <v>189</v>
      </c>
      <c r="C214" s="32">
        <v>8</v>
      </c>
      <c r="D214" s="38" t="s">
        <v>116</v>
      </c>
      <c r="E214" s="42" t="s">
        <v>246</v>
      </c>
      <c r="F214" s="32" t="s">
        <v>64</v>
      </c>
      <c r="G214" s="67" t="s">
        <v>21</v>
      </c>
      <c r="H214" s="32" t="s">
        <v>52</v>
      </c>
      <c r="I214" s="35">
        <v>46202</v>
      </c>
      <c r="J214" s="35">
        <v>46208</v>
      </c>
      <c r="K214" s="36">
        <v>5</v>
      </c>
      <c r="L214" s="46">
        <v>46205</v>
      </c>
      <c r="M214" s="46">
        <v>46207</v>
      </c>
      <c r="N214" s="42"/>
      <c r="O214" s="45"/>
    </row>
    <row r="215" spans="2:15" ht="17.25" customHeight="1" x14ac:dyDescent="0.2">
      <c r="B215" s="32">
        <v>190</v>
      </c>
      <c r="C215" s="32">
        <v>8</v>
      </c>
      <c r="D215" s="38" t="s">
        <v>116</v>
      </c>
      <c r="E215" s="42" t="s">
        <v>247</v>
      </c>
      <c r="F215" s="32" t="s">
        <v>64</v>
      </c>
      <c r="G215" s="67" t="s">
        <v>12</v>
      </c>
      <c r="H215" s="32" t="s">
        <v>52</v>
      </c>
      <c r="I215" s="35">
        <v>46202</v>
      </c>
      <c r="J215" s="35">
        <v>46208</v>
      </c>
      <c r="K215" s="36">
        <v>5</v>
      </c>
      <c r="L215" s="46">
        <v>46205</v>
      </c>
      <c r="M215" s="46">
        <v>46207</v>
      </c>
      <c r="N215" s="42"/>
      <c r="O215" s="45"/>
    </row>
    <row r="216" spans="2:15" ht="17.25" customHeight="1" x14ac:dyDescent="0.2">
      <c r="B216" s="32">
        <v>191</v>
      </c>
      <c r="C216" s="32">
        <v>8</v>
      </c>
      <c r="D216" s="38" t="s">
        <v>116</v>
      </c>
      <c r="E216" s="42" t="s">
        <v>248</v>
      </c>
      <c r="F216" s="32" t="s">
        <v>64</v>
      </c>
      <c r="G216" s="67" t="s">
        <v>17</v>
      </c>
      <c r="H216" s="32" t="s">
        <v>52</v>
      </c>
      <c r="I216" s="35">
        <v>46202</v>
      </c>
      <c r="J216" s="35">
        <v>46208</v>
      </c>
      <c r="K216" s="36">
        <v>4</v>
      </c>
      <c r="L216" s="46">
        <v>46205</v>
      </c>
      <c r="M216" s="46">
        <v>46207</v>
      </c>
      <c r="N216" s="42"/>
      <c r="O216" s="45"/>
    </row>
    <row r="217" spans="2:15" ht="17.25" customHeight="1" x14ac:dyDescent="0.2">
      <c r="B217" s="32">
        <v>192</v>
      </c>
      <c r="C217" s="32">
        <v>8</v>
      </c>
      <c r="D217" s="38" t="s">
        <v>116</v>
      </c>
      <c r="E217" s="42" t="s">
        <v>249</v>
      </c>
      <c r="F217" s="32" t="s">
        <v>64</v>
      </c>
      <c r="G217" s="67" t="s">
        <v>21</v>
      </c>
      <c r="H217" s="32" t="s">
        <v>52</v>
      </c>
      <c r="I217" s="35">
        <v>46202</v>
      </c>
      <c r="J217" s="35">
        <v>46208</v>
      </c>
      <c r="K217" s="36">
        <v>5</v>
      </c>
      <c r="L217" s="46">
        <v>46205</v>
      </c>
      <c r="M217" s="46">
        <v>46207</v>
      </c>
      <c r="N217" s="42"/>
      <c r="O217" s="45"/>
    </row>
    <row r="218" spans="2:15" ht="17.25" customHeight="1" x14ac:dyDescent="0.2">
      <c r="B218" s="32">
        <v>193</v>
      </c>
      <c r="C218" s="32">
        <v>8</v>
      </c>
      <c r="D218" s="38" t="s">
        <v>116</v>
      </c>
      <c r="E218" s="42" t="s">
        <v>250</v>
      </c>
      <c r="F218" s="32" t="s">
        <v>64</v>
      </c>
      <c r="G218" s="67" t="s">
        <v>12</v>
      </c>
      <c r="H218" s="32" t="s">
        <v>52</v>
      </c>
      <c r="I218" s="35">
        <v>46202</v>
      </c>
      <c r="J218" s="35">
        <v>46208</v>
      </c>
      <c r="K218" s="36">
        <v>5</v>
      </c>
      <c r="L218" s="46">
        <v>46205</v>
      </c>
      <c r="M218" s="46">
        <v>46207</v>
      </c>
      <c r="N218" s="42"/>
      <c r="O218" s="45"/>
    </row>
    <row r="219" spans="2:15" ht="17.25" customHeight="1" x14ac:dyDescent="0.2">
      <c r="B219" s="32">
        <v>194</v>
      </c>
      <c r="C219" s="32">
        <v>8</v>
      </c>
      <c r="D219" s="38" t="s">
        <v>116</v>
      </c>
      <c r="E219" s="42" t="s">
        <v>251</v>
      </c>
      <c r="F219" s="32" t="s">
        <v>64</v>
      </c>
      <c r="G219" s="67" t="s">
        <v>17</v>
      </c>
      <c r="H219" s="32" t="s">
        <v>52</v>
      </c>
      <c r="I219" s="35">
        <v>46202</v>
      </c>
      <c r="J219" s="35">
        <v>46208</v>
      </c>
      <c r="K219" s="36">
        <v>4</v>
      </c>
      <c r="L219" s="46">
        <v>46205</v>
      </c>
      <c r="M219" s="46">
        <v>46207</v>
      </c>
      <c r="N219" s="42"/>
      <c r="O219" s="45"/>
    </row>
    <row r="220" spans="2:15" ht="17.25" customHeight="1" x14ac:dyDescent="0.2">
      <c r="B220" s="32">
        <v>195</v>
      </c>
      <c r="C220" s="32">
        <v>8</v>
      </c>
      <c r="D220" s="38" t="s">
        <v>116</v>
      </c>
      <c r="E220" s="42" t="s">
        <v>252</v>
      </c>
      <c r="F220" s="32" t="s">
        <v>64</v>
      </c>
      <c r="G220" s="67" t="s">
        <v>21</v>
      </c>
      <c r="H220" s="32" t="s">
        <v>52</v>
      </c>
      <c r="I220" s="35">
        <v>46202</v>
      </c>
      <c r="J220" s="35">
        <v>46208</v>
      </c>
      <c r="K220" s="36">
        <v>5</v>
      </c>
      <c r="L220" s="46">
        <v>46205</v>
      </c>
      <c r="M220" s="46">
        <v>46207</v>
      </c>
      <c r="N220" s="42"/>
      <c r="O220" s="45"/>
    </row>
    <row r="221" spans="2:15" ht="17.25" customHeight="1" x14ac:dyDescent="0.2">
      <c r="B221" s="32">
        <v>196</v>
      </c>
      <c r="C221" s="32">
        <v>8</v>
      </c>
      <c r="D221" s="38" t="s">
        <v>116</v>
      </c>
      <c r="E221" s="42" t="s">
        <v>253</v>
      </c>
      <c r="F221" s="32" t="s">
        <v>64</v>
      </c>
      <c r="G221" s="67" t="s">
        <v>12</v>
      </c>
      <c r="H221" s="32" t="s">
        <v>52</v>
      </c>
      <c r="I221" s="35">
        <v>46202</v>
      </c>
      <c r="J221" s="35">
        <v>46208</v>
      </c>
      <c r="K221" s="36">
        <v>5</v>
      </c>
      <c r="L221" s="46">
        <v>46205</v>
      </c>
      <c r="M221" s="46">
        <v>46207</v>
      </c>
      <c r="N221" s="42"/>
      <c r="O221" s="45"/>
    </row>
    <row r="222" spans="2:15" ht="17.25" customHeight="1" x14ac:dyDescent="0.2">
      <c r="B222" s="32">
        <v>197</v>
      </c>
      <c r="C222" s="32">
        <v>8</v>
      </c>
      <c r="D222" s="38" t="s">
        <v>120</v>
      </c>
      <c r="E222" s="42" t="s">
        <v>254</v>
      </c>
      <c r="F222" s="32" t="s">
        <v>64</v>
      </c>
      <c r="G222" s="67" t="s">
        <v>17</v>
      </c>
      <c r="H222" s="32" t="s">
        <v>52</v>
      </c>
      <c r="I222" s="35">
        <v>46202</v>
      </c>
      <c r="J222" s="35">
        <v>46208</v>
      </c>
      <c r="K222" s="36">
        <v>2</v>
      </c>
      <c r="L222" s="46">
        <v>46205</v>
      </c>
      <c r="M222" s="46">
        <v>46207</v>
      </c>
      <c r="N222" s="42"/>
      <c r="O222" s="45"/>
    </row>
    <row r="223" spans="2:15" ht="17.25" customHeight="1" x14ac:dyDescent="0.2">
      <c r="B223" s="32">
        <v>198</v>
      </c>
      <c r="C223" s="32">
        <v>8</v>
      </c>
      <c r="D223" s="38" t="s">
        <v>120</v>
      </c>
      <c r="E223" s="42" t="s">
        <v>255</v>
      </c>
      <c r="F223" s="32" t="s">
        <v>64</v>
      </c>
      <c r="G223" s="67" t="s">
        <v>21</v>
      </c>
      <c r="H223" s="32" t="s">
        <v>52</v>
      </c>
      <c r="I223" s="35">
        <v>46202</v>
      </c>
      <c r="J223" s="35">
        <v>46208</v>
      </c>
      <c r="K223" s="36">
        <v>3</v>
      </c>
      <c r="L223" s="46">
        <v>46205</v>
      </c>
      <c r="M223" s="46">
        <v>46207</v>
      </c>
      <c r="N223" s="42"/>
      <c r="O223" s="45"/>
    </row>
    <row r="224" spans="2:15" ht="17.25" customHeight="1" x14ac:dyDescent="0.2">
      <c r="B224" s="32">
        <v>199</v>
      </c>
      <c r="C224" s="32">
        <v>8</v>
      </c>
      <c r="D224" s="38" t="s">
        <v>120</v>
      </c>
      <c r="E224" s="42" t="s">
        <v>256</v>
      </c>
      <c r="F224" s="32" t="s">
        <v>64</v>
      </c>
      <c r="G224" s="67" t="s">
        <v>12</v>
      </c>
      <c r="H224" s="32" t="s">
        <v>52</v>
      </c>
      <c r="I224" s="35">
        <v>46202</v>
      </c>
      <c r="J224" s="35">
        <v>46208</v>
      </c>
      <c r="K224" s="36">
        <v>3</v>
      </c>
      <c r="L224" s="46">
        <v>46205</v>
      </c>
      <c r="M224" s="46">
        <v>46207</v>
      </c>
      <c r="N224" s="42"/>
      <c r="O224" s="45"/>
    </row>
    <row r="225" spans="2:15" ht="17.25" customHeight="1" x14ac:dyDescent="0.2">
      <c r="B225" s="32">
        <v>200</v>
      </c>
      <c r="C225" s="32">
        <v>8</v>
      </c>
      <c r="D225" s="38" t="s">
        <v>120</v>
      </c>
      <c r="E225" s="42" t="s">
        <v>257</v>
      </c>
      <c r="F225" s="32" t="s">
        <v>64</v>
      </c>
      <c r="G225" s="67" t="s">
        <v>17</v>
      </c>
      <c r="H225" s="32" t="s">
        <v>52</v>
      </c>
      <c r="I225" s="35">
        <v>46202</v>
      </c>
      <c r="J225" s="35">
        <v>46208</v>
      </c>
      <c r="K225" s="36">
        <v>2</v>
      </c>
      <c r="L225" s="46">
        <v>46205</v>
      </c>
      <c r="M225" s="46">
        <v>46207</v>
      </c>
      <c r="N225" s="42"/>
      <c r="O225" s="45"/>
    </row>
    <row r="226" spans="2:15" ht="17.25" customHeight="1" x14ac:dyDescent="0.2">
      <c r="B226" s="32">
        <v>201</v>
      </c>
      <c r="C226" s="32">
        <v>8</v>
      </c>
      <c r="D226" s="38" t="s">
        <v>120</v>
      </c>
      <c r="E226" s="42" t="s">
        <v>258</v>
      </c>
      <c r="F226" s="32" t="s">
        <v>64</v>
      </c>
      <c r="G226" s="67" t="s">
        <v>21</v>
      </c>
      <c r="H226" s="32" t="s">
        <v>52</v>
      </c>
      <c r="I226" s="35">
        <v>46202</v>
      </c>
      <c r="J226" s="35">
        <v>46208</v>
      </c>
      <c r="K226" s="36">
        <v>3</v>
      </c>
      <c r="L226" s="37">
        <v>46205</v>
      </c>
      <c r="M226" s="37">
        <v>46207</v>
      </c>
      <c r="N226" s="37"/>
      <c r="O226" s="45"/>
    </row>
    <row r="227" spans="2:15" ht="17.25" customHeight="1" x14ac:dyDescent="0.2">
      <c r="B227" s="32">
        <v>202</v>
      </c>
      <c r="C227" s="32">
        <v>8</v>
      </c>
      <c r="D227" s="38" t="s">
        <v>120</v>
      </c>
      <c r="E227" s="42" t="s">
        <v>259</v>
      </c>
      <c r="F227" s="32" t="s">
        <v>64</v>
      </c>
      <c r="G227" s="67" t="s">
        <v>12</v>
      </c>
      <c r="H227" s="32" t="s">
        <v>52</v>
      </c>
      <c r="I227" s="35">
        <v>46202</v>
      </c>
      <c r="J227" s="35">
        <v>46208</v>
      </c>
      <c r="K227" s="36">
        <v>3</v>
      </c>
      <c r="L227" s="37">
        <v>46205</v>
      </c>
      <c r="M227" s="37">
        <v>46207</v>
      </c>
      <c r="N227" s="37"/>
      <c r="O227" s="45"/>
    </row>
    <row r="228" spans="2:15" ht="17.25" customHeight="1" x14ac:dyDescent="0.2">
      <c r="B228" s="32">
        <v>203</v>
      </c>
      <c r="C228" s="32">
        <v>8</v>
      </c>
      <c r="D228" s="38" t="s">
        <v>120</v>
      </c>
      <c r="E228" s="42" t="s">
        <v>260</v>
      </c>
      <c r="F228" s="32" t="s">
        <v>64</v>
      </c>
      <c r="G228" s="67" t="s">
        <v>17</v>
      </c>
      <c r="H228" s="32" t="s">
        <v>52</v>
      </c>
      <c r="I228" s="35">
        <v>46202</v>
      </c>
      <c r="J228" s="35">
        <v>46208</v>
      </c>
      <c r="K228" s="36">
        <v>2</v>
      </c>
      <c r="L228" s="37">
        <v>46205</v>
      </c>
      <c r="M228" s="37">
        <v>46207</v>
      </c>
      <c r="N228" s="37"/>
      <c r="O228" s="45"/>
    </row>
    <row r="229" spans="2:15" ht="17.25" customHeight="1" x14ac:dyDescent="0.2">
      <c r="B229" s="32">
        <v>204</v>
      </c>
      <c r="C229" s="32">
        <v>8</v>
      </c>
      <c r="D229" s="38" t="s">
        <v>120</v>
      </c>
      <c r="E229" s="42" t="s">
        <v>261</v>
      </c>
      <c r="F229" s="32" t="s">
        <v>64</v>
      </c>
      <c r="G229" s="67" t="s">
        <v>21</v>
      </c>
      <c r="H229" s="32" t="s">
        <v>52</v>
      </c>
      <c r="I229" s="35">
        <v>46202</v>
      </c>
      <c r="J229" s="35">
        <v>46208</v>
      </c>
      <c r="K229" s="36">
        <v>3</v>
      </c>
      <c r="L229" s="37">
        <v>46205</v>
      </c>
      <c r="M229" s="37">
        <v>46207</v>
      </c>
      <c r="N229" s="37"/>
      <c r="O229" s="45"/>
    </row>
    <row r="230" spans="2:15" ht="17.25" customHeight="1" x14ac:dyDescent="0.2">
      <c r="B230" s="32">
        <v>205</v>
      </c>
      <c r="C230" s="26">
        <v>8</v>
      </c>
      <c r="D230" s="38" t="s">
        <v>62</v>
      </c>
      <c r="E230" s="42" t="s">
        <v>262</v>
      </c>
      <c r="F230" s="32" t="s">
        <v>64</v>
      </c>
      <c r="G230" s="67" t="s">
        <v>12</v>
      </c>
      <c r="H230" s="32" t="s">
        <v>52</v>
      </c>
      <c r="I230" s="35">
        <v>46202</v>
      </c>
      <c r="J230" s="35">
        <v>46208</v>
      </c>
      <c r="K230" s="36">
        <v>3</v>
      </c>
      <c r="L230" s="37">
        <v>46205</v>
      </c>
      <c r="M230" s="37">
        <v>46207</v>
      </c>
      <c r="N230" s="37"/>
      <c r="O230" s="45"/>
    </row>
    <row r="231" spans="2:15" ht="17.25" customHeight="1" x14ac:dyDescent="0.2">
      <c r="B231" s="32">
        <v>206</v>
      </c>
      <c r="C231" s="26">
        <v>8</v>
      </c>
      <c r="D231" s="38" t="s">
        <v>62</v>
      </c>
      <c r="E231" s="42" t="s">
        <v>263</v>
      </c>
      <c r="F231" s="32" t="s">
        <v>64</v>
      </c>
      <c r="G231" s="67" t="s">
        <v>17</v>
      </c>
      <c r="H231" s="32" t="s">
        <v>52</v>
      </c>
      <c r="I231" s="35">
        <v>46202</v>
      </c>
      <c r="J231" s="35">
        <v>46208</v>
      </c>
      <c r="K231" s="36">
        <v>2</v>
      </c>
      <c r="L231" s="37">
        <v>46205</v>
      </c>
      <c r="M231" s="37">
        <v>46207</v>
      </c>
      <c r="N231" s="37"/>
      <c r="O231" s="45"/>
    </row>
    <row r="232" spans="2:15" ht="17.25" customHeight="1" x14ac:dyDescent="0.2">
      <c r="B232" s="32">
        <v>207</v>
      </c>
      <c r="C232" s="26">
        <v>8</v>
      </c>
      <c r="D232" s="38" t="s">
        <v>116</v>
      </c>
      <c r="E232" s="42" t="s">
        <v>264</v>
      </c>
      <c r="F232" s="32" t="s">
        <v>64</v>
      </c>
      <c r="G232" s="67" t="s">
        <v>21</v>
      </c>
      <c r="H232" s="32" t="s">
        <v>52</v>
      </c>
      <c r="I232" s="35">
        <v>46202</v>
      </c>
      <c r="J232" s="35">
        <v>46208</v>
      </c>
      <c r="K232" s="36">
        <v>5</v>
      </c>
      <c r="L232" s="37">
        <v>46205</v>
      </c>
      <c r="M232" s="37">
        <v>46207</v>
      </c>
      <c r="N232" s="37"/>
      <c r="O232" s="45"/>
    </row>
    <row r="233" spans="2:15" ht="17.25" customHeight="1" x14ac:dyDescent="0.2">
      <c r="B233" s="32">
        <v>208</v>
      </c>
      <c r="C233" s="5">
        <v>9</v>
      </c>
      <c r="D233" s="38" t="s">
        <v>120</v>
      </c>
      <c r="E233" s="42" t="s">
        <v>265</v>
      </c>
      <c r="F233" s="32" t="s">
        <v>64</v>
      </c>
      <c r="G233" s="67" t="s">
        <v>12</v>
      </c>
      <c r="H233" s="32" t="s">
        <v>52</v>
      </c>
      <c r="I233" s="35">
        <v>46209</v>
      </c>
      <c r="J233" s="35">
        <v>46219</v>
      </c>
      <c r="K233" s="36">
        <v>3</v>
      </c>
      <c r="L233" s="37">
        <v>46212</v>
      </c>
      <c r="M233" s="37">
        <v>46218</v>
      </c>
      <c r="N233" s="37"/>
      <c r="O233" s="45"/>
    </row>
    <row r="234" spans="2:15" ht="17.25" customHeight="1" x14ac:dyDescent="0.2">
      <c r="B234" s="32">
        <v>209</v>
      </c>
      <c r="C234" s="5">
        <v>9</v>
      </c>
      <c r="D234" s="38" t="s">
        <v>120</v>
      </c>
      <c r="E234" s="42" t="s">
        <v>266</v>
      </c>
      <c r="F234" s="32" t="s">
        <v>64</v>
      </c>
      <c r="G234" s="67" t="s">
        <v>17</v>
      </c>
      <c r="H234" s="32" t="s">
        <v>52</v>
      </c>
      <c r="I234" s="35">
        <v>46209</v>
      </c>
      <c r="J234" s="35">
        <v>46219</v>
      </c>
      <c r="K234" s="36">
        <v>2</v>
      </c>
      <c r="L234" s="37">
        <v>46212</v>
      </c>
      <c r="M234" s="37">
        <v>46218</v>
      </c>
      <c r="N234" s="37"/>
      <c r="O234" s="45"/>
    </row>
    <row r="235" spans="2:15" ht="17.25" customHeight="1" x14ac:dyDescent="0.2">
      <c r="B235" s="32">
        <v>210</v>
      </c>
      <c r="C235" s="5">
        <v>9</v>
      </c>
      <c r="D235" s="38" t="s">
        <v>120</v>
      </c>
      <c r="E235" s="42" t="s">
        <v>267</v>
      </c>
      <c r="F235" s="32" t="s">
        <v>64</v>
      </c>
      <c r="G235" s="67" t="s">
        <v>21</v>
      </c>
      <c r="H235" s="32" t="s">
        <v>52</v>
      </c>
      <c r="I235" s="35">
        <v>46209</v>
      </c>
      <c r="J235" s="35">
        <v>46219</v>
      </c>
      <c r="K235" s="36">
        <v>3</v>
      </c>
      <c r="L235" s="37">
        <v>46212</v>
      </c>
      <c r="M235" s="37">
        <v>46218</v>
      </c>
      <c r="N235" s="37"/>
      <c r="O235" s="45"/>
    </row>
    <row r="236" spans="2:15" ht="17.25" customHeight="1" x14ac:dyDescent="0.2">
      <c r="B236" s="32">
        <v>211</v>
      </c>
      <c r="C236" s="5">
        <v>9</v>
      </c>
      <c r="D236" s="38" t="s">
        <v>120</v>
      </c>
      <c r="E236" s="42" t="s">
        <v>268</v>
      </c>
      <c r="F236" s="32" t="s">
        <v>64</v>
      </c>
      <c r="G236" s="67" t="s">
        <v>12</v>
      </c>
      <c r="H236" s="32" t="s">
        <v>52</v>
      </c>
      <c r="I236" s="35">
        <v>46209</v>
      </c>
      <c r="J236" s="35">
        <v>46219</v>
      </c>
      <c r="K236" s="36">
        <v>3</v>
      </c>
      <c r="L236" s="37">
        <v>46212</v>
      </c>
      <c r="M236" s="37">
        <v>46218</v>
      </c>
      <c r="N236" s="37"/>
      <c r="O236" s="45"/>
    </row>
    <row r="237" spans="2:15" ht="17.25" customHeight="1" x14ac:dyDescent="0.2">
      <c r="B237" s="32">
        <v>212</v>
      </c>
      <c r="C237" s="5">
        <v>9</v>
      </c>
      <c r="D237" s="38" t="s">
        <v>120</v>
      </c>
      <c r="E237" s="42" t="s">
        <v>269</v>
      </c>
      <c r="F237" s="32" t="s">
        <v>64</v>
      </c>
      <c r="G237" s="67" t="s">
        <v>17</v>
      </c>
      <c r="H237" s="32" t="s">
        <v>52</v>
      </c>
      <c r="I237" s="35">
        <v>46209</v>
      </c>
      <c r="J237" s="35">
        <v>46219</v>
      </c>
      <c r="K237" s="36">
        <v>2</v>
      </c>
      <c r="L237" s="37">
        <v>46212</v>
      </c>
      <c r="M237" s="37">
        <v>46218</v>
      </c>
      <c r="N237" s="37"/>
      <c r="O237" s="45"/>
    </row>
    <row r="238" spans="2:15" ht="17.25" customHeight="1" x14ac:dyDescent="0.2">
      <c r="B238" s="32">
        <v>213</v>
      </c>
      <c r="C238" s="5">
        <v>9</v>
      </c>
      <c r="D238" s="38" t="s">
        <v>120</v>
      </c>
      <c r="E238" s="42" t="s">
        <v>270</v>
      </c>
      <c r="F238" s="32" t="s">
        <v>64</v>
      </c>
      <c r="G238" s="67" t="s">
        <v>21</v>
      </c>
      <c r="H238" s="32" t="s">
        <v>52</v>
      </c>
      <c r="I238" s="35">
        <v>46209</v>
      </c>
      <c r="J238" s="35">
        <v>46219</v>
      </c>
      <c r="K238" s="36">
        <v>3</v>
      </c>
      <c r="L238" s="37">
        <v>46212</v>
      </c>
      <c r="M238" s="37">
        <v>46218</v>
      </c>
      <c r="N238" s="37"/>
      <c r="O238" s="45"/>
    </row>
    <row r="239" spans="2:15" ht="17.25" customHeight="1" x14ac:dyDescent="0.2">
      <c r="B239" s="32">
        <v>214</v>
      </c>
      <c r="C239" s="5">
        <v>9</v>
      </c>
      <c r="D239" s="38" t="s">
        <v>120</v>
      </c>
      <c r="E239" s="42" t="s">
        <v>271</v>
      </c>
      <c r="F239" s="32" t="s">
        <v>64</v>
      </c>
      <c r="G239" s="67" t="s">
        <v>12</v>
      </c>
      <c r="H239" s="32" t="s">
        <v>52</v>
      </c>
      <c r="I239" s="35">
        <v>46209</v>
      </c>
      <c r="J239" s="35">
        <v>46219</v>
      </c>
      <c r="K239" s="36">
        <v>3</v>
      </c>
      <c r="L239" s="37">
        <v>46212</v>
      </c>
      <c r="M239" s="37">
        <v>46218</v>
      </c>
      <c r="N239" s="37"/>
      <c r="O239" s="45"/>
    </row>
    <row r="240" spans="2:15" ht="17.25" customHeight="1" x14ac:dyDescent="0.2">
      <c r="B240" s="32">
        <v>215</v>
      </c>
      <c r="C240" s="5">
        <v>9</v>
      </c>
      <c r="D240" s="38" t="s">
        <v>120</v>
      </c>
      <c r="E240" s="42" t="s">
        <v>272</v>
      </c>
      <c r="F240" s="32" t="s">
        <v>64</v>
      </c>
      <c r="G240" s="67" t="s">
        <v>17</v>
      </c>
      <c r="H240" s="32" t="s">
        <v>52</v>
      </c>
      <c r="I240" s="35">
        <v>46209</v>
      </c>
      <c r="J240" s="35">
        <v>46219</v>
      </c>
      <c r="K240" s="36">
        <v>2</v>
      </c>
      <c r="L240" s="37">
        <v>46212</v>
      </c>
      <c r="M240" s="37">
        <v>46218</v>
      </c>
      <c r="N240" s="37"/>
      <c r="O240" s="45"/>
    </row>
    <row r="241" spans="2:15" ht="17.25" customHeight="1" x14ac:dyDescent="0.2">
      <c r="B241" s="32">
        <v>216</v>
      </c>
      <c r="C241" s="5">
        <v>9</v>
      </c>
      <c r="D241" s="38" t="s">
        <v>120</v>
      </c>
      <c r="E241" s="42" t="s">
        <v>273</v>
      </c>
      <c r="F241" s="32" t="s">
        <v>64</v>
      </c>
      <c r="G241" s="67" t="s">
        <v>21</v>
      </c>
      <c r="H241" s="32" t="s">
        <v>52</v>
      </c>
      <c r="I241" s="35">
        <v>46209</v>
      </c>
      <c r="J241" s="35">
        <v>46219</v>
      </c>
      <c r="K241" s="36">
        <v>3</v>
      </c>
      <c r="L241" s="37">
        <v>46212</v>
      </c>
      <c r="M241" s="37">
        <v>46218</v>
      </c>
      <c r="N241" s="37"/>
      <c r="O241" s="45"/>
    </row>
    <row r="242" spans="2:15" ht="17.25" customHeight="1" x14ac:dyDescent="0.2">
      <c r="B242" s="32">
        <v>217</v>
      </c>
      <c r="C242" s="5">
        <v>9</v>
      </c>
      <c r="D242" s="38" t="s">
        <v>120</v>
      </c>
      <c r="E242" s="42" t="s">
        <v>274</v>
      </c>
      <c r="F242" s="32" t="s">
        <v>64</v>
      </c>
      <c r="G242" s="67" t="s">
        <v>12</v>
      </c>
      <c r="H242" s="32" t="s">
        <v>52</v>
      </c>
      <c r="I242" s="35">
        <v>46209</v>
      </c>
      <c r="J242" s="35">
        <v>46219</v>
      </c>
      <c r="K242" s="36">
        <v>3</v>
      </c>
      <c r="L242" s="37">
        <v>46212</v>
      </c>
      <c r="M242" s="37">
        <v>46218</v>
      </c>
      <c r="N242" s="37"/>
      <c r="O242" s="45"/>
    </row>
    <row r="243" spans="2:15" ht="17.25" customHeight="1" x14ac:dyDescent="0.2">
      <c r="B243" s="32">
        <v>218</v>
      </c>
      <c r="C243" s="5">
        <v>9</v>
      </c>
      <c r="D243" s="38" t="s">
        <v>120</v>
      </c>
      <c r="E243" s="42" t="s">
        <v>275</v>
      </c>
      <c r="F243" s="32" t="s">
        <v>64</v>
      </c>
      <c r="G243" s="67" t="s">
        <v>17</v>
      </c>
      <c r="H243" s="32" t="s">
        <v>52</v>
      </c>
      <c r="I243" s="35">
        <v>46209</v>
      </c>
      <c r="J243" s="35">
        <v>46219</v>
      </c>
      <c r="K243" s="36">
        <v>2</v>
      </c>
      <c r="L243" s="37">
        <v>46212</v>
      </c>
      <c r="M243" s="37">
        <v>46218</v>
      </c>
      <c r="N243" s="37"/>
      <c r="O243" s="45"/>
    </row>
    <row r="244" spans="2:15" ht="17.25" customHeight="1" x14ac:dyDescent="0.2">
      <c r="B244" s="32">
        <v>219</v>
      </c>
      <c r="C244" s="5">
        <v>9</v>
      </c>
      <c r="D244" s="38" t="s">
        <v>120</v>
      </c>
      <c r="E244" s="42" t="s">
        <v>276</v>
      </c>
      <c r="F244" s="32" t="s">
        <v>64</v>
      </c>
      <c r="G244" s="67" t="s">
        <v>21</v>
      </c>
      <c r="H244" s="32" t="s">
        <v>52</v>
      </c>
      <c r="I244" s="35">
        <v>46209</v>
      </c>
      <c r="J244" s="35">
        <v>46219</v>
      </c>
      <c r="K244" s="36">
        <v>3</v>
      </c>
      <c r="L244" s="37">
        <v>46212</v>
      </c>
      <c r="M244" s="37">
        <v>46218</v>
      </c>
      <c r="N244" s="37"/>
      <c r="O244" s="45"/>
    </row>
    <row r="245" spans="2:15" ht="17.25" customHeight="1" x14ac:dyDescent="0.2">
      <c r="B245" s="32">
        <v>220</v>
      </c>
      <c r="C245" s="5">
        <v>9</v>
      </c>
      <c r="D245" s="38" t="s">
        <v>120</v>
      </c>
      <c r="E245" s="42" t="s">
        <v>277</v>
      </c>
      <c r="F245" s="32" t="s">
        <v>64</v>
      </c>
      <c r="G245" s="67" t="s">
        <v>12</v>
      </c>
      <c r="H245" s="32" t="s">
        <v>52</v>
      </c>
      <c r="I245" s="35">
        <v>46209</v>
      </c>
      <c r="J245" s="35">
        <v>46219</v>
      </c>
      <c r="K245" s="36">
        <v>3</v>
      </c>
      <c r="L245" s="37">
        <v>46212</v>
      </c>
      <c r="M245" s="37">
        <v>46218</v>
      </c>
      <c r="N245" s="37"/>
      <c r="O245" s="45"/>
    </row>
    <row r="246" spans="2:15" ht="17.25" customHeight="1" x14ac:dyDescent="0.2">
      <c r="B246" s="32">
        <v>221</v>
      </c>
      <c r="C246" s="5">
        <v>9</v>
      </c>
      <c r="D246" s="38" t="s">
        <v>120</v>
      </c>
      <c r="E246" s="42" t="s">
        <v>278</v>
      </c>
      <c r="F246" s="32" t="s">
        <v>64</v>
      </c>
      <c r="G246" s="67" t="s">
        <v>17</v>
      </c>
      <c r="H246" s="32" t="s">
        <v>52</v>
      </c>
      <c r="I246" s="35">
        <v>46209</v>
      </c>
      <c r="J246" s="35">
        <v>46219</v>
      </c>
      <c r="K246" s="36">
        <v>2</v>
      </c>
      <c r="L246" s="37">
        <v>46212</v>
      </c>
      <c r="M246" s="37">
        <v>46218</v>
      </c>
      <c r="N246" s="37"/>
      <c r="O246" s="45"/>
    </row>
    <row r="247" spans="2:15" ht="17.25" customHeight="1" x14ac:dyDescent="0.2">
      <c r="B247" s="32">
        <v>222</v>
      </c>
      <c r="C247" s="5">
        <v>9</v>
      </c>
      <c r="D247" s="38" t="s">
        <v>120</v>
      </c>
      <c r="E247" s="42" t="s">
        <v>279</v>
      </c>
      <c r="F247" s="32" t="s">
        <v>64</v>
      </c>
      <c r="G247" s="67" t="s">
        <v>12</v>
      </c>
      <c r="H247" s="32" t="s">
        <v>52</v>
      </c>
      <c r="I247" s="35">
        <v>46209</v>
      </c>
      <c r="J247" s="35">
        <v>46219</v>
      </c>
      <c r="K247" s="36">
        <v>3</v>
      </c>
      <c r="L247" s="37">
        <v>46212</v>
      </c>
      <c r="M247" s="37">
        <v>46218</v>
      </c>
      <c r="N247" s="37"/>
      <c r="O247" s="45"/>
    </row>
    <row r="248" spans="2:15" ht="17.25" customHeight="1" x14ac:dyDescent="0.2">
      <c r="B248" s="32">
        <v>223</v>
      </c>
      <c r="C248" s="5">
        <v>9</v>
      </c>
      <c r="D248" s="38" t="s">
        <v>120</v>
      </c>
      <c r="E248" s="42" t="s">
        <v>280</v>
      </c>
      <c r="F248" s="32" t="s">
        <v>64</v>
      </c>
      <c r="G248" s="67" t="s">
        <v>17</v>
      </c>
      <c r="H248" s="32" t="s">
        <v>52</v>
      </c>
      <c r="I248" s="35">
        <v>46209</v>
      </c>
      <c r="J248" s="35">
        <v>46219</v>
      </c>
      <c r="K248" s="36">
        <v>2</v>
      </c>
      <c r="L248" s="37">
        <v>46212</v>
      </c>
      <c r="M248" s="37">
        <v>46218</v>
      </c>
      <c r="N248" s="37"/>
      <c r="O248" s="45"/>
    </row>
    <row r="249" spans="2:15" ht="17.25" customHeight="1" x14ac:dyDescent="0.2">
      <c r="B249" s="32">
        <v>224</v>
      </c>
      <c r="C249" s="5">
        <v>9</v>
      </c>
      <c r="D249" s="38" t="s">
        <v>120</v>
      </c>
      <c r="E249" s="42" t="s">
        <v>281</v>
      </c>
      <c r="F249" s="32" t="s">
        <v>64</v>
      </c>
      <c r="G249" s="67" t="s">
        <v>12</v>
      </c>
      <c r="H249" s="32" t="s">
        <v>52</v>
      </c>
      <c r="I249" s="35">
        <v>46209</v>
      </c>
      <c r="J249" s="35">
        <v>46219</v>
      </c>
      <c r="K249" s="36">
        <v>3</v>
      </c>
      <c r="L249" s="37">
        <v>46212</v>
      </c>
      <c r="M249" s="37">
        <v>46218</v>
      </c>
      <c r="N249" s="37"/>
      <c r="O249" s="45"/>
    </row>
    <row r="250" spans="2:15" ht="17.25" customHeight="1" x14ac:dyDescent="0.2">
      <c r="B250" s="32">
        <v>225</v>
      </c>
      <c r="C250" s="5">
        <v>9</v>
      </c>
      <c r="D250" s="38" t="s">
        <v>120</v>
      </c>
      <c r="E250" s="42" t="s">
        <v>282</v>
      </c>
      <c r="F250" s="32" t="s">
        <v>64</v>
      </c>
      <c r="G250" s="67" t="s">
        <v>17</v>
      </c>
      <c r="H250" s="32" t="s">
        <v>52</v>
      </c>
      <c r="I250" s="35">
        <v>46209</v>
      </c>
      <c r="J250" s="35">
        <v>46219</v>
      </c>
      <c r="K250" s="36">
        <v>2</v>
      </c>
      <c r="L250" s="37">
        <v>46219</v>
      </c>
      <c r="M250" s="37">
        <v>46218</v>
      </c>
      <c r="N250" s="37"/>
      <c r="O250" s="45"/>
    </row>
    <row r="251" spans="2:15" ht="17.25" customHeight="1" x14ac:dyDescent="0.2">
      <c r="B251" s="32">
        <v>226</v>
      </c>
      <c r="C251" s="26">
        <v>9</v>
      </c>
      <c r="D251" s="38" t="s">
        <v>116</v>
      </c>
      <c r="E251" s="42" t="s">
        <v>283</v>
      </c>
      <c r="F251" s="32" t="s">
        <v>64</v>
      </c>
      <c r="G251" s="67" t="s">
        <v>12</v>
      </c>
      <c r="H251" s="32" t="s">
        <v>52</v>
      </c>
      <c r="I251" s="35">
        <v>46209</v>
      </c>
      <c r="J251" s="35">
        <v>46219</v>
      </c>
      <c r="K251" s="36">
        <v>5</v>
      </c>
      <c r="L251" s="37">
        <v>46212</v>
      </c>
      <c r="M251" s="37">
        <v>46218</v>
      </c>
      <c r="N251" s="37"/>
      <c r="O251" s="45"/>
    </row>
    <row r="252" spans="2:15" ht="17.25" customHeight="1" x14ac:dyDescent="0.2">
      <c r="B252" s="32">
        <v>227</v>
      </c>
      <c r="C252" s="26">
        <v>9</v>
      </c>
      <c r="D252" s="38" t="s">
        <v>116</v>
      </c>
      <c r="E252" s="42" t="s">
        <v>284</v>
      </c>
      <c r="F252" s="32" t="s">
        <v>64</v>
      </c>
      <c r="G252" s="67" t="s">
        <v>17</v>
      </c>
      <c r="H252" s="32" t="s">
        <v>52</v>
      </c>
      <c r="I252" s="35">
        <v>46209</v>
      </c>
      <c r="J252" s="35">
        <v>46219</v>
      </c>
      <c r="K252" s="36">
        <v>4</v>
      </c>
      <c r="L252" s="37">
        <v>46212</v>
      </c>
      <c r="M252" s="37">
        <v>46218</v>
      </c>
      <c r="N252" s="37"/>
      <c r="O252" s="45"/>
    </row>
    <row r="253" spans="2:15" ht="17.25" customHeight="1" x14ac:dyDescent="0.2">
      <c r="B253" s="32">
        <v>228</v>
      </c>
      <c r="C253" s="26">
        <v>9</v>
      </c>
      <c r="D253" s="38" t="s">
        <v>116</v>
      </c>
      <c r="E253" s="42" t="s">
        <v>285</v>
      </c>
      <c r="F253" s="32" t="s">
        <v>64</v>
      </c>
      <c r="G253" s="67" t="s">
        <v>12</v>
      </c>
      <c r="H253" s="32" t="s">
        <v>52</v>
      </c>
      <c r="I253" s="35">
        <v>46209</v>
      </c>
      <c r="J253" s="35">
        <v>46219</v>
      </c>
      <c r="K253" s="36">
        <v>5</v>
      </c>
      <c r="L253" s="37">
        <v>46212</v>
      </c>
      <c r="M253" s="37">
        <v>46218</v>
      </c>
      <c r="N253" s="37"/>
      <c r="O253" s="45"/>
    </row>
    <row r="254" spans="2:15" ht="17.25" customHeight="1" x14ac:dyDescent="0.2">
      <c r="B254" s="32">
        <v>229</v>
      </c>
      <c r="C254" s="5">
        <v>10</v>
      </c>
      <c r="D254" s="38" t="s">
        <v>120</v>
      </c>
      <c r="E254" s="42" t="s">
        <v>286</v>
      </c>
      <c r="F254" s="32" t="s">
        <v>64</v>
      </c>
      <c r="G254" s="67" t="s">
        <v>17</v>
      </c>
      <c r="H254" s="32" t="s">
        <v>52</v>
      </c>
      <c r="I254" s="35">
        <v>46220</v>
      </c>
      <c r="J254" s="35">
        <v>46229</v>
      </c>
      <c r="K254" s="36">
        <v>2</v>
      </c>
      <c r="L254" s="37">
        <v>46219</v>
      </c>
      <c r="M254" s="37">
        <v>46228</v>
      </c>
      <c r="N254" s="37"/>
      <c r="O254" s="45"/>
    </row>
    <row r="255" spans="2:15" ht="17.25" customHeight="1" x14ac:dyDescent="0.2">
      <c r="B255" s="32">
        <v>230</v>
      </c>
      <c r="C255" s="5">
        <v>10</v>
      </c>
      <c r="D255" s="38" t="s">
        <v>120</v>
      </c>
      <c r="E255" s="42" t="s">
        <v>287</v>
      </c>
      <c r="F255" s="32" t="s">
        <v>64</v>
      </c>
      <c r="G255" s="67" t="s">
        <v>12</v>
      </c>
      <c r="H255" s="32" t="s">
        <v>52</v>
      </c>
      <c r="I255" s="35">
        <v>46220</v>
      </c>
      <c r="J255" s="35">
        <v>46229</v>
      </c>
      <c r="K255" s="36">
        <v>3</v>
      </c>
      <c r="L255" s="37">
        <v>46219</v>
      </c>
      <c r="M255" s="37">
        <v>46228</v>
      </c>
      <c r="N255" s="37"/>
      <c r="O255" s="45"/>
    </row>
    <row r="256" spans="2:15" ht="17.25" customHeight="1" x14ac:dyDescent="0.2">
      <c r="B256" s="32">
        <v>231</v>
      </c>
      <c r="C256" s="5">
        <v>10</v>
      </c>
      <c r="D256" s="38" t="s">
        <v>120</v>
      </c>
      <c r="E256" s="42" t="s">
        <v>288</v>
      </c>
      <c r="F256" s="32" t="s">
        <v>64</v>
      </c>
      <c r="G256" s="67" t="s">
        <v>17</v>
      </c>
      <c r="H256" s="32" t="s">
        <v>52</v>
      </c>
      <c r="I256" s="35">
        <v>46220</v>
      </c>
      <c r="J256" s="35">
        <v>46229</v>
      </c>
      <c r="K256" s="36">
        <v>2</v>
      </c>
      <c r="L256" s="37">
        <v>46219</v>
      </c>
      <c r="M256" s="37">
        <v>46228</v>
      </c>
      <c r="N256" s="37"/>
      <c r="O256" s="45"/>
    </row>
    <row r="257" spans="2:15" ht="17.25" customHeight="1" x14ac:dyDescent="0.2">
      <c r="B257" s="32">
        <v>232</v>
      </c>
      <c r="C257" s="5">
        <v>10</v>
      </c>
      <c r="D257" s="38" t="s">
        <v>120</v>
      </c>
      <c r="E257" s="42" t="s">
        <v>289</v>
      </c>
      <c r="F257" s="32" t="s">
        <v>64</v>
      </c>
      <c r="G257" s="67" t="s">
        <v>12</v>
      </c>
      <c r="H257" s="32" t="s">
        <v>52</v>
      </c>
      <c r="I257" s="35">
        <v>46220</v>
      </c>
      <c r="J257" s="35">
        <v>46229</v>
      </c>
      <c r="K257" s="36">
        <v>3</v>
      </c>
      <c r="L257" s="37">
        <v>46219</v>
      </c>
      <c r="M257" s="37">
        <v>46228</v>
      </c>
      <c r="N257" s="37"/>
      <c r="O257" s="45"/>
    </row>
    <row r="258" spans="2:15" ht="17.25" customHeight="1" x14ac:dyDescent="0.2">
      <c r="B258" s="32">
        <v>233</v>
      </c>
      <c r="C258" s="5">
        <v>10</v>
      </c>
      <c r="D258" s="38" t="s">
        <v>120</v>
      </c>
      <c r="E258" s="42" t="s">
        <v>290</v>
      </c>
      <c r="F258" s="32" t="s">
        <v>64</v>
      </c>
      <c r="G258" s="67" t="s">
        <v>17</v>
      </c>
      <c r="H258" s="32" t="s">
        <v>52</v>
      </c>
      <c r="I258" s="35">
        <v>46220</v>
      </c>
      <c r="J258" s="35">
        <v>46229</v>
      </c>
      <c r="K258" s="36">
        <v>2</v>
      </c>
      <c r="L258" s="37">
        <v>46219</v>
      </c>
      <c r="M258" s="37">
        <v>46228</v>
      </c>
      <c r="N258" s="37"/>
      <c r="O258" s="45"/>
    </row>
    <row r="259" spans="2:15" ht="17.25" customHeight="1" x14ac:dyDescent="0.2">
      <c r="B259" s="32">
        <v>234</v>
      </c>
      <c r="C259" s="5">
        <v>10</v>
      </c>
      <c r="D259" s="38" t="s">
        <v>120</v>
      </c>
      <c r="E259" s="42" t="s">
        <v>291</v>
      </c>
      <c r="F259" s="32" t="s">
        <v>64</v>
      </c>
      <c r="G259" s="67" t="s">
        <v>12</v>
      </c>
      <c r="H259" s="32" t="s">
        <v>52</v>
      </c>
      <c r="I259" s="35">
        <v>46220</v>
      </c>
      <c r="J259" s="35">
        <v>46229</v>
      </c>
      <c r="K259" s="36">
        <v>3</v>
      </c>
      <c r="L259" s="37">
        <v>46219</v>
      </c>
      <c r="M259" s="37">
        <v>46228</v>
      </c>
      <c r="N259" s="37"/>
      <c r="O259" s="45"/>
    </row>
    <row r="260" spans="2:15" ht="17.25" customHeight="1" x14ac:dyDescent="0.2">
      <c r="B260" s="32">
        <v>235</v>
      </c>
      <c r="C260" s="5">
        <v>10</v>
      </c>
      <c r="D260" s="38" t="s">
        <v>120</v>
      </c>
      <c r="E260" s="42" t="s">
        <v>292</v>
      </c>
      <c r="F260" s="32" t="s">
        <v>64</v>
      </c>
      <c r="G260" s="67" t="s">
        <v>17</v>
      </c>
      <c r="H260" s="32" t="s">
        <v>52</v>
      </c>
      <c r="I260" s="35">
        <v>46220</v>
      </c>
      <c r="J260" s="35">
        <v>46229</v>
      </c>
      <c r="K260" s="36">
        <v>2</v>
      </c>
      <c r="L260" s="37">
        <v>46219</v>
      </c>
      <c r="M260" s="37">
        <v>46228</v>
      </c>
      <c r="N260" s="37"/>
      <c r="O260" s="45"/>
    </row>
    <row r="261" spans="2:15" ht="17.25" customHeight="1" x14ac:dyDescent="0.2">
      <c r="B261" s="32">
        <v>236</v>
      </c>
      <c r="C261" s="5">
        <v>10</v>
      </c>
      <c r="D261" s="38" t="s">
        <v>120</v>
      </c>
      <c r="E261" s="42" t="s">
        <v>293</v>
      </c>
      <c r="F261" s="32" t="s">
        <v>64</v>
      </c>
      <c r="G261" s="67" t="s">
        <v>12</v>
      </c>
      <c r="H261" s="32" t="s">
        <v>52</v>
      </c>
      <c r="I261" s="35">
        <v>46220</v>
      </c>
      <c r="J261" s="35">
        <v>46229</v>
      </c>
      <c r="K261" s="36">
        <v>3</v>
      </c>
      <c r="L261" s="37">
        <v>46219</v>
      </c>
      <c r="M261" s="37">
        <v>46228</v>
      </c>
      <c r="N261" s="37"/>
      <c r="O261" s="45"/>
    </row>
    <row r="262" spans="2:15" ht="17.25" customHeight="1" x14ac:dyDescent="0.2">
      <c r="B262" s="32">
        <v>237</v>
      </c>
      <c r="C262" s="5">
        <v>10</v>
      </c>
      <c r="D262" s="38" t="s">
        <v>120</v>
      </c>
      <c r="E262" s="42" t="s">
        <v>294</v>
      </c>
      <c r="F262" s="32" t="s">
        <v>64</v>
      </c>
      <c r="G262" s="67" t="s">
        <v>17</v>
      </c>
      <c r="H262" s="32" t="s">
        <v>52</v>
      </c>
      <c r="I262" s="35">
        <v>46220</v>
      </c>
      <c r="J262" s="35">
        <v>46229</v>
      </c>
      <c r="K262" s="36">
        <v>2</v>
      </c>
      <c r="L262" s="37">
        <v>46219</v>
      </c>
      <c r="M262" s="37">
        <v>46228</v>
      </c>
      <c r="N262" s="37"/>
      <c r="O262" s="45"/>
    </row>
    <row r="263" spans="2:15" ht="17.25" customHeight="1" x14ac:dyDescent="0.2">
      <c r="B263" s="32">
        <v>238</v>
      </c>
      <c r="C263" s="5">
        <v>10</v>
      </c>
      <c r="D263" s="38" t="s">
        <v>120</v>
      </c>
      <c r="E263" s="42" t="s">
        <v>295</v>
      </c>
      <c r="F263" s="32" t="s">
        <v>64</v>
      </c>
      <c r="G263" s="67" t="s">
        <v>12</v>
      </c>
      <c r="H263" s="32" t="s">
        <v>52</v>
      </c>
      <c r="I263" s="35">
        <v>46220</v>
      </c>
      <c r="J263" s="35">
        <v>46229</v>
      </c>
      <c r="K263" s="36">
        <v>3</v>
      </c>
      <c r="L263" s="37">
        <v>46219</v>
      </c>
      <c r="M263" s="37">
        <v>46228</v>
      </c>
      <c r="N263" s="37"/>
      <c r="O263" s="45"/>
    </row>
    <row r="264" spans="2:15" ht="17.25" customHeight="1" x14ac:dyDescent="0.2">
      <c r="B264" s="32">
        <v>239</v>
      </c>
      <c r="C264" s="5">
        <v>10</v>
      </c>
      <c r="D264" s="38" t="s">
        <v>120</v>
      </c>
      <c r="E264" s="42" t="s">
        <v>296</v>
      </c>
      <c r="F264" s="32" t="s">
        <v>64</v>
      </c>
      <c r="G264" s="67" t="s">
        <v>17</v>
      </c>
      <c r="H264" s="32" t="s">
        <v>52</v>
      </c>
      <c r="I264" s="35">
        <v>46220</v>
      </c>
      <c r="J264" s="35">
        <v>46229</v>
      </c>
      <c r="K264" s="36">
        <v>2</v>
      </c>
      <c r="L264" s="37">
        <v>46219</v>
      </c>
      <c r="M264" s="37">
        <v>46228</v>
      </c>
      <c r="N264" s="37"/>
      <c r="O264" s="45"/>
    </row>
    <row r="265" spans="2:15" ht="17.25" customHeight="1" x14ac:dyDescent="0.2">
      <c r="B265" s="32">
        <v>240</v>
      </c>
      <c r="C265" s="5">
        <v>10</v>
      </c>
      <c r="D265" s="38" t="s">
        <v>120</v>
      </c>
      <c r="E265" s="42" t="s">
        <v>297</v>
      </c>
      <c r="F265" s="32" t="s">
        <v>64</v>
      </c>
      <c r="G265" s="67" t="s">
        <v>12</v>
      </c>
      <c r="H265" s="32" t="s">
        <v>52</v>
      </c>
      <c r="I265" s="35">
        <v>46220</v>
      </c>
      <c r="J265" s="35">
        <v>46229</v>
      </c>
      <c r="K265" s="36">
        <v>3</v>
      </c>
      <c r="L265" s="37">
        <v>46219</v>
      </c>
      <c r="M265" s="37">
        <v>46228</v>
      </c>
      <c r="N265" s="37"/>
      <c r="O265" s="45"/>
    </row>
    <row r="266" spans="2:15" ht="17.25" customHeight="1" x14ac:dyDescent="0.2">
      <c r="B266" s="32">
        <v>241</v>
      </c>
      <c r="C266" s="5">
        <v>10</v>
      </c>
      <c r="D266" s="38" t="s">
        <v>120</v>
      </c>
      <c r="E266" s="42" t="s">
        <v>298</v>
      </c>
      <c r="F266" s="32" t="s">
        <v>64</v>
      </c>
      <c r="G266" s="67" t="s">
        <v>17</v>
      </c>
      <c r="H266" s="32" t="s">
        <v>52</v>
      </c>
      <c r="I266" s="35">
        <v>46220</v>
      </c>
      <c r="J266" s="35">
        <v>46229</v>
      </c>
      <c r="K266" s="36">
        <v>2</v>
      </c>
      <c r="L266" s="37">
        <v>46219</v>
      </c>
      <c r="M266" s="37">
        <v>46228</v>
      </c>
      <c r="N266" s="37"/>
      <c r="O266" s="45"/>
    </row>
    <row r="267" spans="2:15" ht="17.25" customHeight="1" x14ac:dyDescent="0.2">
      <c r="B267" s="32">
        <v>242</v>
      </c>
      <c r="C267" s="5">
        <v>10</v>
      </c>
      <c r="D267" s="38" t="s">
        <v>120</v>
      </c>
      <c r="E267" s="42" t="s">
        <v>299</v>
      </c>
      <c r="F267" s="32" t="s">
        <v>64</v>
      </c>
      <c r="G267" s="67" t="s">
        <v>12</v>
      </c>
      <c r="H267" s="32" t="s">
        <v>52</v>
      </c>
      <c r="I267" s="35">
        <v>46220</v>
      </c>
      <c r="J267" s="35">
        <v>46229</v>
      </c>
      <c r="K267" s="36">
        <v>3</v>
      </c>
      <c r="L267" s="37">
        <v>46219</v>
      </c>
      <c r="M267" s="37">
        <v>46228</v>
      </c>
      <c r="N267" s="37"/>
      <c r="O267" s="45"/>
    </row>
    <row r="268" spans="2:15" ht="17.25" customHeight="1" x14ac:dyDescent="0.2">
      <c r="B268" s="32">
        <v>243</v>
      </c>
      <c r="C268" s="5">
        <v>10</v>
      </c>
      <c r="D268" s="38" t="s">
        <v>120</v>
      </c>
      <c r="E268" s="42" t="s">
        <v>300</v>
      </c>
      <c r="F268" s="32" t="s">
        <v>64</v>
      </c>
      <c r="G268" s="67" t="s">
        <v>17</v>
      </c>
      <c r="H268" s="32" t="s">
        <v>52</v>
      </c>
      <c r="I268" s="35">
        <v>46220</v>
      </c>
      <c r="J268" s="35">
        <v>46229</v>
      </c>
      <c r="K268" s="36">
        <v>2</v>
      </c>
      <c r="L268" s="37">
        <v>46219</v>
      </c>
      <c r="M268" s="37">
        <v>46228</v>
      </c>
      <c r="N268" s="37"/>
      <c r="O268" s="45"/>
    </row>
    <row r="269" spans="2:15" ht="17.25" customHeight="1" x14ac:dyDescent="0.2">
      <c r="B269" s="32">
        <v>244</v>
      </c>
      <c r="C269" s="5">
        <v>10</v>
      </c>
      <c r="D269" s="38" t="s">
        <v>301</v>
      </c>
      <c r="E269" s="42" t="s">
        <v>302</v>
      </c>
      <c r="F269" s="32" t="s">
        <v>64</v>
      </c>
      <c r="G269" s="67" t="s">
        <v>12</v>
      </c>
      <c r="H269" s="32" t="s">
        <v>52</v>
      </c>
      <c r="I269" s="35">
        <v>46220</v>
      </c>
      <c r="J269" s="35">
        <v>46229</v>
      </c>
      <c r="K269" s="36">
        <v>3</v>
      </c>
      <c r="L269" s="37">
        <v>46219</v>
      </c>
      <c r="M269" s="37">
        <v>46228</v>
      </c>
      <c r="N269" s="37"/>
      <c r="O269" s="45"/>
    </row>
    <row r="270" spans="2:15" ht="17.25" customHeight="1" x14ac:dyDescent="0.2">
      <c r="B270" s="32">
        <v>245</v>
      </c>
      <c r="C270" s="5">
        <v>10</v>
      </c>
      <c r="D270" s="38" t="s">
        <v>301</v>
      </c>
      <c r="E270" s="42" t="s">
        <v>303</v>
      </c>
      <c r="F270" s="32" t="s">
        <v>64</v>
      </c>
      <c r="G270" s="67" t="s">
        <v>17</v>
      </c>
      <c r="H270" s="32" t="s">
        <v>52</v>
      </c>
      <c r="I270" s="35">
        <v>46220</v>
      </c>
      <c r="J270" s="35">
        <v>46229</v>
      </c>
      <c r="K270" s="36">
        <v>2</v>
      </c>
      <c r="L270" s="37">
        <v>46219</v>
      </c>
      <c r="M270" s="37">
        <v>46228</v>
      </c>
      <c r="N270" s="37"/>
      <c r="O270" s="45"/>
    </row>
    <row r="271" spans="2:15" ht="17.25" customHeight="1" x14ac:dyDescent="0.2">
      <c r="B271" s="32">
        <v>246</v>
      </c>
      <c r="C271" s="5">
        <v>10</v>
      </c>
      <c r="D271" s="38" t="s">
        <v>301</v>
      </c>
      <c r="E271" s="42" t="s">
        <v>304</v>
      </c>
      <c r="F271" s="32" t="s">
        <v>64</v>
      </c>
      <c r="G271" s="67" t="s">
        <v>12</v>
      </c>
      <c r="H271" s="32" t="s">
        <v>52</v>
      </c>
      <c r="I271" s="35">
        <v>46220</v>
      </c>
      <c r="J271" s="35">
        <v>46229</v>
      </c>
      <c r="K271" s="36">
        <v>3</v>
      </c>
      <c r="L271" s="37">
        <v>46219</v>
      </c>
      <c r="M271" s="37">
        <v>46228</v>
      </c>
      <c r="N271" s="37"/>
      <c r="O271" s="45"/>
    </row>
    <row r="272" spans="2:15" ht="17.25" customHeight="1" x14ac:dyDescent="0.2">
      <c r="B272" s="32">
        <v>247</v>
      </c>
      <c r="C272" s="26">
        <v>10</v>
      </c>
      <c r="D272" s="38" t="s">
        <v>49</v>
      </c>
      <c r="E272" s="42" t="s">
        <v>305</v>
      </c>
      <c r="F272" s="32" t="s">
        <v>54</v>
      </c>
      <c r="G272" s="67" t="s">
        <v>12</v>
      </c>
      <c r="H272" s="32" t="s">
        <v>52</v>
      </c>
      <c r="I272" s="35">
        <v>46220</v>
      </c>
      <c r="J272" s="35">
        <v>46229</v>
      </c>
      <c r="K272" s="36">
        <v>3</v>
      </c>
      <c r="L272" s="37">
        <v>46219</v>
      </c>
      <c r="M272" s="37">
        <v>46228</v>
      </c>
      <c r="N272" s="37"/>
      <c r="O272" s="45"/>
    </row>
    <row r="273" spans="2:15" ht="17.25" customHeight="1" x14ac:dyDescent="0.2">
      <c r="B273" s="32">
        <v>248</v>
      </c>
      <c r="C273" s="26">
        <v>10</v>
      </c>
      <c r="D273" s="38" t="s">
        <v>49</v>
      </c>
      <c r="E273" s="42" t="s">
        <v>306</v>
      </c>
      <c r="F273" s="32" t="s">
        <v>307</v>
      </c>
      <c r="G273" s="67" t="s">
        <v>12</v>
      </c>
      <c r="H273" s="32" t="s">
        <v>52</v>
      </c>
      <c r="I273" s="35">
        <v>46220</v>
      </c>
      <c r="J273" s="35">
        <v>46229</v>
      </c>
      <c r="K273" s="36">
        <v>3</v>
      </c>
      <c r="L273" s="37">
        <v>46219</v>
      </c>
      <c r="M273" s="37">
        <v>46228</v>
      </c>
      <c r="N273" s="37"/>
      <c r="O273" s="45"/>
    </row>
    <row r="274" spans="2:15" ht="15.75" customHeight="1" x14ac:dyDescent="0.2">
      <c r="C274" s="48"/>
      <c r="E274" s="45"/>
      <c r="F274" s="48"/>
      <c r="H274" s="48"/>
    </row>
    <row r="275" spans="2:15" ht="15.75" customHeight="1" x14ac:dyDescent="0.2">
      <c r="C275" s="48"/>
      <c r="E275" s="45"/>
      <c r="F275" s="48"/>
      <c r="H275" s="48"/>
    </row>
    <row r="276" spans="2:15" ht="15.75" customHeight="1" x14ac:dyDescent="0.2">
      <c r="C276" s="48"/>
      <c r="E276" s="45"/>
      <c r="F276" s="48"/>
      <c r="H276" s="48"/>
    </row>
    <row r="277" spans="2:15" ht="15.75" customHeight="1" x14ac:dyDescent="0.2">
      <c r="C277" s="48"/>
      <c r="E277" s="45"/>
      <c r="F277" s="48"/>
      <c r="H277" s="48"/>
    </row>
    <row r="278" spans="2:15" ht="15.75" customHeight="1" x14ac:dyDescent="0.2">
      <c r="C278" s="48"/>
      <c r="E278" s="45"/>
      <c r="F278" s="48"/>
      <c r="H278" s="48"/>
    </row>
    <row r="279" spans="2:15" ht="15.75" customHeight="1" x14ac:dyDescent="0.2">
      <c r="C279" s="48"/>
      <c r="E279" s="45"/>
      <c r="F279" s="48"/>
      <c r="H279" s="48"/>
    </row>
    <row r="280" spans="2:15" ht="15.75" customHeight="1" x14ac:dyDescent="0.2">
      <c r="C280" s="48"/>
      <c r="E280" s="45"/>
      <c r="F280" s="48"/>
      <c r="H280" s="48"/>
    </row>
    <row r="281" spans="2:15" ht="15.75" customHeight="1" x14ac:dyDescent="0.2">
      <c r="C281" s="48"/>
      <c r="E281" s="45"/>
      <c r="F281" s="48"/>
      <c r="H281" s="48"/>
    </row>
    <row r="282" spans="2:15" ht="15.75" customHeight="1" x14ac:dyDescent="0.2">
      <c r="C282" s="48"/>
      <c r="E282" s="45"/>
      <c r="F282" s="48"/>
      <c r="H282" s="48"/>
    </row>
    <row r="283" spans="2:15" ht="15.75" customHeight="1" x14ac:dyDescent="0.2">
      <c r="C283" s="48"/>
      <c r="E283" s="45"/>
      <c r="F283" s="48"/>
      <c r="H283" s="48"/>
    </row>
    <row r="284" spans="2:15" ht="15.75" customHeight="1" x14ac:dyDescent="0.2">
      <c r="C284" s="48"/>
      <c r="E284" s="45"/>
      <c r="F284" s="48"/>
      <c r="H284" s="48"/>
    </row>
    <row r="285" spans="2:15" ht="15.75" customHeight="1" x14ac:dyDescent="0.2">
      <c r="C285" s="48"/>
      <c r="E285" s="45"/>
      <c r="F285" s="48"/>
      <c r="H285" s="48"/>
    </row>
    <row r="286" spans="2:15" ht="15.75" customHeight="1" x14ac:dyDescent="0.2">
      <c r="C286" s="48"/>
      <c r="E286" s="45"/>
      <c r="F286" s="48"/>
      <c r="H286" s="48"/>
    </row>
    <row r="287" spans="2:15" ht="15.75" customHeight="1" x14ac:dyDescent="0.2">
      <c r="C287" s="48"/>
      <c r="E287" s="45"/>
      <c r="F287" s="48"/>
      <c r="H287" s="48"/>
    </row>
    <row r="288" spans="2:15" ht="15.75" customHeight="1" x14ac:dyDescent="0.2">
      <c r="C288" s="48"/>
      <c r="E288" s="45"/>
      <c r="F288" s="48"/>
      <c r="H288" s="48"/>
    </row>
    <row r="289" spans="3:8" ht="15.75" customHeight="1" x14ac:dyDescent="0.2">
      <c r="C289" s="48"/>
      <c r="E289" s="45"/>
      <c r="F289" s="48"/>
      <c r="H289" s="48"/>
    </row>
    <row r="290" spans="3:8" ht="15.75" customHeight="1" x14ac:dyDescent="0.2">
      <c r="C290" s="48"/>
      <c r="E290" s="45"/>
      <c r="F290" s="48"/>
      <c r="H290" s="48"/>
    </row>
    <row r="291" spans="3:8" ht="15.75" customHeight="1" x14ac:dyDescent="0.2">
      <c r="C291" s="48"/>
      <c r="E291" s="45"/>
      <c r="F291" s="48"/>
      <c r="H291" s="48"/>
    </row>
    <row r="292" spans="3:8" ht="15.75" customHeight="1" x14ac:dyDescent="0.2">
      <c r="C292" s="48"/>
      <c r="E292" s="45"/>
      <c r="F292" s="48"/>
      <c r="H292" s="48"/>
    </row>
    <row r="293" spans="3:8" ht="15.75" customHeight="1" x14ac:dyDescent="0.2">
      <c r="C293" s="48"/>
      <c r="E293" s="45"/>
      <c r="F293" s="48"/>
      <c r="H293" s="48"/>
    </row>
    <row r="294" spans="3:8" ht="15.75" customHeight="1" x14ac:dyDescent="0.2">
      <c r="C294" s="48"/>
      <c r="E294" s="45"/>
      <c r="F294" s="48"/>
      <c r="H294" s="48"/>
    </row>
    <row r="295" spans="3:8" ht="15.75" customHeight="1" x14ac:dyDescent="0.2">
      <c r="C295" s="48"/>
      <c r="E295" s="45"/>
      <c r="F295" s="48"/>
      <c r="H295" s="48"/>
    </row>
    <row r="296" spans="3:8" ht="15.75" customHeight="1" x14ac:dyDescent="0.2">
      <c r="C296" s="48"/>
      <c r="F296" s="48"/>
      <c r="H296" s="48"/>
    </row>
    <row r="297" spans="3:8" ht="15.75" customHeight="1" x14ac:dyDescent="0.2">
      <c r="C297" s="48"/>
      <c r="F297" s="48"/>
      <c r="H297" s="48"/>
    </row>
    <row r="298" spans="3:8" ht="15.75" customHeight="1" x14ac:dyDescent="0.2">
      <c r="C298" s="48"/>
      <c r="F298" s="48"/>
      <c r="H298" s="48"/>
    </row>
    <row r="299" spans="3:8" ht="15.75" customHeight="1" x14ac:dyDescent="0.2">
      <c r="C299" s="48"/>
      <c r="F299" s="48"/>
      <c r="H299" s="48"/>
    </row>
    <row r="300" spans="3:8" ht="15.75" customHeight="1" x14ac:dyDescent="0.2">
      <c r="C300" s="48"/>
      <c r="F300" s="48"/>
      <c r="H300" s="48"/>
    </row>
    <row r="301" spans="3:8" ht="15.75" customHeight="1" x14ac:dyDescent="0.2">
      <c r="C301" s="48"/>
      <c r="F301" s="48"/>
      <c r="H301" s="48"/>
    </row>
    <row r="302" spans="3:8" ht="15.75" customHeight="1" x14ac:dyDescent="0.2">
      <c r="C302" s="48"/>
      <c r="F302" s="48"/>
      <c r="H302" s="48"/>
    </row>
    <row r="303" spans="3:8" ht="15.75" customHeight="1" x14ac:dyDescent="0.2">
      <c r="C303" s="48"/>
      <c r="F303" s="48"/>
      <c r="H303" s="48"/>
    </row>
    <row r="304" spans="3:8" ht="15.75" customHeight="1" x14ac:dyDescent="0.2">
      <c r="C304" s="48"/>
      <c r="F304" s="48"/>
      <c r="H304" s="48"/>
    </row>
    <row r="305" spans="3:8" ht="15.75" customHeight="1" x14ac:dyDescent="0.2">
      <c r="C305" s="48"/>
      <c r="F305" s="48"/>
      <c r="H305" s="48"/>
    </row>
    <row r="306" spans="3:8" ht="15.75" customHeight="1" x14ac:dyDescent="0.2">
      <c r="C306" s="48"/>
      <c r="F306" s="48"/>
      <c r="H306" s="48"/>
    </row>
    <row r="307" spans="3:8" ht="15.75" customHeight="1" x14ac:dyDescent="0.2">
      <c r="C307" s="48"/>
      <c r="F307" s="48"/>
      <c r="H307" s="48"/>
    </row>
    <row r="308" spans="3:8" ht="15.75" customHeight="1" x14ac:dyDescent="0.2">
      <c r="C308" s="48"/>
      <c r="F308" s="48"/>
      <c r="H308" s="48"/>
    </row>
    <row r="309" spans="3:8" ht="15.75" customHeight="1" x14ac:dyDescent="0.2">
      <c r="C309" s="48"/>
      <c r="F309" s="48"/>
      <c r="H309" s="48"/>
    </row>
    <row r="310" spans="3:8" ht="15.75" customHeight="1" x14ac:dyDescent="0.2">
      <c r="C310" s="48"/>
      <c r="F310" s="48"/>
      <c r="H310" s="48"/>
    </row>
    <row r="311" spans="3:8" ht="15.75" customHeight="1" x14ac:dyDescent="0.2">
      <c r="C311" s="48"/>
      <c r="F311" s="48"/>
      <c r="H311" s="48"/>
    </row>
    <row r="312" spans="3:8" ht="15.75" customHeight="1" x14ac:dyDescent="0.2">
      <c r="C312" s="48"/>
      <c r="F312" s="48"/>
      <c r="H312" s="48"/>
    </row>
    <row r="313" spans="3:8" ht="15.75" customHeight="1" x14ac:dyDescent="0.2">
      <c r="C313" s="48"/>
      <c r="F313" s="48"/>
      <c r="H313" s="48"/>
    </row>
    <row r="314" spans="3:8" ht="15.75" customHeight="1" x14ac:dyDescent="0.2">
      <c r="C314" s="48"/>
      <c r="F314" s="48"/>
      <c r="H314" s="48"/>
    </row>
    <row r="315" spans="3:8" ht="15.75" customHeight="1" x14ac:dyDescent="0.2">
      <c r="C315" s="48"/>
      <c r="F315" s="48"/>
      <c r="H315" s="48"/>
    </row>
    <row r="316" spans="3:8" ht="15.75" customHeight="1" x14ac:dyDescent="0.2">
      <c r="C316" s="48"/>
      <c r="F316" s="48"/>
      <c r="H316" s="48"/>
    </row>
    <row r="317" spans="3:8" ht="15.75" customHeight="1" x14ac:dyDescent="0.2">
      <c r="C317" s="48"/>
      <c r="F317" s="48"/>
      <c r="H317" s="48"/>
    </row>
    <row r="318" spans="3:8" ht="15.75" customHeight="1" x14ac:dyDescent="0.2">
      <c r="C318" s="48"/>
      <c r="F318" s="48"/>
      <c r="H318" s="48"/>
    </row>
    <row r="319" spans="3:8" ht="15.75" customHeight="1" x14ac:dyDescent="0.2">
      <c r="C319" s="48"/>
      <c r="F319" s="48"/>
      <c r="H319" s="48"/>
    </row>
    <row r="320" spans="3:8" ht="15.75" customHeight="1" x14ac:dyDescent="0.2">
      <c r="C320" s="48"/>
      <c r="F320" s="48"/>
      <c r="H320" s="48"/>
    </row>
    <row r="321" spans="3:8" ht="15.75" customHeight="1" x14ac:dyDescent="0.2">
      <c r="C321" s="48"/>
      <c r="F321" s="48"/>
      <c r="H321" s="48"/>
    </row>
    <row r="322" spans="3:8" ht="15.75" customHeight="1" x14ac:dyDescent="0.2">
      <c r="C322" s="48"/>
      <c r="F322" s="48"/>
      <c r="H322" s="48"/>
    </row>
    <row r="323" spans="3:8" ht="15.75" customHeight="1" x14ac:dyDescent="0.2">
      <c r="C323" s="48"/>
      <c r="F323" s="48"/>
      <c r="H323" s="48"/>
    </row>
    <row r="324" spans="3:8" ht="15.75" customHeight="1" x14ac:dyDescent="0.2">
      <c r="C324" s="48"/>
      <c r="F324" s="48"/>
      <c r="H324" s="48"/>
    </row>
    <row r="325" spans="3:8" ht="15.75" customHeight="1" x14ac:dyDescent="0.2">
      <c r="C325" s="48"/>
      <c r="F325" s="48"/>
      <c r="H325" s="48"/>
    </row>
    <row r="326" spans="3:8" ht="15.75" customHeight="1" x14ac:dyDescent="0.2">
      <c r="C326" s="48"/>
      <c r="F326" s="48"/>
      <c r="H326" s="48"/>
    </row>
    <row r="327" spans="3:8" ht="15.75" customHeight="1" x14ac:dyDescent="0.2">
      <c r="C327" s="48"/>
      <c r="F327" s="48"/>
      <c r="H327" s="48"/>
    </row>
    <row r="328" spans="3:8" ht="15.75" customHeight="1" x14ac:dyDescent="0.2">
      <c r="C328" s="48"/>
      <c r="F328" s="48"/>
      <c r="H328" s="48"/>
    </row>
    <row r="329" spans="3:8" ht="15.75" customHeight="1" x14ac:dyDescent="0.2">
      <c r="C329" s="48"/>
      <c r="F329" s="48"/>
      <c r="H329" s="48"/>
    </row>
    <row r="330" spans="3:8" ht="15.75" customHeight="1" x14ac:dyDescent="0.2">
      <c r="C330" s="48"/>
      <c r="F330" s="48"/>
      <c r="H330" s="48"/>
    </row>
    <row r="331" spans="3:8" ht="15.75" customHeight="1" x14ac:dyDescent="0.2">
      <c r="C331" s="48"/>
      <c r="F331" s="48"/>
      <c r="H331" s="48"/>
    </row>
    <row r="332" spans="3:8" ht="15.75" customHeight="1" x14ac:dyDescent="0.2">
      <c r="C332" s="48"/>
      <c r="F332" s="48"/>
      <c r="H332" s="48"/>
    </row>
    <row r="333" spans="3:8" ht="15.75" customHeight="1" x14ac:dyDescent="0.2">
      <c r="C333" s="48"/>
      <c r="F333" s="48"/>
      <c r="H333" s="48"/>
    </row>
    <row r="334" spans="3:8" ht="15.75" customHeight="1" x14ac:dyDescent="0.2">
      <c r="C334" s="48"/>
      <c r="F334" s="48"/>
      <c r="H334" s="48"/>
    </row>
    <row r="335" spans="3:8" ht="15.75" customHeight="1" x14ac:dyDescent="0.2">
      <c r="C335" s="48"/>
      <c r="F335" s="48"/>
      <c r="H335" s="48"/>
    </row>
    <row r="336" spans="3:8" ht="15.75" customHeight="1" x14ac:dyDescent="0.2">
      <c r="C336" s="48"/>
      <c r="F336" s="48"/>
      <c r="H336" s="48"/>
    </row>
    <row r="337" spans="3:8" ht="15.75" customHeight="1" x14ac:dyDescent="0.2">
      <c r="C337" s="48"/>
      <c r="F337" s="48"/>
      <c r="H337" s="48"/>
    </row>
    <row r="338" spans="3:8" ht="15.75" customHeight="1" x14ac:dyDescent="0.2">
      <c r="C338" s="48"/>
      <c r="F338" s="48"/>
      <c r="H338" s="48"/>
    </row>
    <row r="339" spans="3:8" ht="15.75" customHeight="1" x14ac:dyDescent="0.2">
      <c r="C339" s="48"/>
      <c r="F339" s="48"/>
      <c r="H339" s="48"/>
    </row>
    <row r="340" spans="3:8" ht="15.75" customHeight="1" x14ac:dyDescent="0.2">
      <c r="C340" s="48"/>
      <c r="F340" s="48"/>
      <c r="H340" s="48"/>
    </row>
    <row r="341" spans="3:8" ht="15.75" customHeight="1" x14ac:dyDescent="0.2">
      <c r="C341" s="48"/>
      <c r="F341" s="48"/>
      <c r="H341" s="48"/>
    </row>
    <row r="342" spans="3:8" ht="15.75" customHeight="1" x14ac:dyDescent="0.2">
      <c r="C342" s="48"/>
      <c r="F342" s="48"/>
      <c r="H342" s="48"/>
    </row>
    <row r="343" spans="3:8" ht="15.75" customHeight="1" x14ac:dyDescent="0.2">
      <c r="C343" s="48"/>
      <c r="F343" s="48"/>
      <c r="H343" s="48"/>
    </row>
    <row r="344" spans="3:8" ht="15.75" customHeight="1" x14ac:dyDescent="0.2">
      <c r="C344" s="48"/>
      <c r="F344" s="48"/>
      <c r="H344" s="48"/>
    </row>
    <row r="345" spans="3:8" ht="15.75" customHeight="1" x14ac:dyDescent="0.2">
      <c r="C345" s="48"/>
      <c r="F345" s="48"/>
      <c r="H345" s="48"/>
    </row>
    <row r="346" spans="3:8" ht="15.75" customHeight="1" x14ac:dyDescent="0.2">
      <c r="C346" s="48"/>
      <c r="F346" s="48"/>
      <c r="H346" s="48"/>
    </row>
    <row r="347" spans="3:8" ht="15.75" customHeight="1" x14ac:dyDescent="0.2">
      <c r="C347" s="48"/>
      <c r="F347" s="48"/>
      <c r="H347" s="48"/>
    </row>
    <row r="348" spans="3:8" ht="15.75" customHeight="1" x14ac:dyDescent="0.2">
      <c r="C348" s="48"/>
      <c r="F348" s="48"/>
      <c r="H348" s="48"/>
    </row>
    <row r="349" spans="3:8" ht="15.75" customHeight="1" x14ac:dyDescent="0.2">
      <c r="C349" s="48"/>
      <c r="F349" s="48"/>
      <c r="H349" s="48"/>
    </row>
    <row r="350" spans="3:8" ht="15.75" customHeight="1" x14ac:dyDescent="0.2">
      <c r="C350" s="48"/>
      <c r="F350" s="48"/>
      <c r="H350" s="48"/>
    </row>
    <row r="351" spans="3:8" ht="15.75" customHeight="1" x14ac:dyDescent="0.2">
      <c r="C351" s="48"/>
      <c r="F351" s="48"/>
      <c r="H351" s="48"/>
    </row>
    <row r="352" spans="3:8" ht="15.75" customHeight="1" x14ac:dyDescent="0.2">
      <c r="C352" s="48"/>
      <c r="F352" s="48"/>
      <c r="H352" s="48"/>
    </row>
    <row r="353" spans="3:8" ht="15.75" customHeight="1" x14ac:dyDescent="0.2">
      <c r="C353" s="48"/>
      <c r="F353" s="48"/>
      <c r="H353" s="48"/>
    </row>
    <row r="354" spans="3:8" ht="15.75" customHeight="1" x14ac:dyDescent="0.2">
      <c r="C354" s="48"/>
      <c r="F354" s="48"/>
      <c r="H354" s="48"/>
    </row>
    <row r="355" spans="3:8" ht="15.75" customHeight="1" x14ac:dyDescent="0.2">
      <c r="C355" s="48"/>
      <c r="F355" s="48"/>
      <c r="H355" s="48"/>
    </row>
    <row r="356" spans="3:8" ht="15.75" customHeight="1" x14ac:dyDescent="0.2">
      <c r="C356" s="48"/>
      <c r="F356" s="48"/>
      <c r="H356" s="48"/>
    </row>
    <row r="357" spans="3:8" ht="15.75" customHeight="1" x14ac:dyDescent="0.2">
      <c r="C357" s="48"/>
      <c r="F357" s="48"/>
      <c r="H357" s="48"/>
    </row>
    <row r="358" spans="3:8" ht="15.75" customHeight="1" x14ac:dyDescent="0.2">
      <c r="C358" s="48"/>
      <c r="F358" s="48"/>
      <c r="H358" s="48"/>
    </row>
    <row r="359" spans="3:8" ht="15.75" customHeight="1" x14ac:dyDescent="0.2">
      <c r="C359" s="48"/>
      <c r="F359" s="48"/>
      <c r="H359" s="48"/>
    </row>
    <row r="360" spans="3:8" ht="15.75" customHeight="1" x14ac:dyDescent="0.2">
      <c r="C360" s="48"/>
      <c r="F360" s="48"/>
      <c r="H360" s="48"/>
    </row>
    <row r="361" spans="3:8" ht="15.75" customHeight="1" x14ac:dyDescent="0.2">
      <c r="C361" s="48"/>
      <c r="F361" s="48"/>
      <c r="H361" s="48"/>
    </row>
    <row r="362" spans="3:8" ht="15.75" customHeight="1" x14ac:dyDescent="0.2">
      <c r="C362" s="48"/>
      <c r="F362" s="48"/>
      <c r="H362" s="48"/>
    </row>
    <row r="363" spans="3:8" ht="15.75" customHeight="1" x14ac:dyDescent="0.2">
      <c r="C363" s="48"/>
      <c r="F363" s="48"/>
      <c r="H363" s="48"/>
    </row>
    <row r="364" spans="3:8" ht="15.75" customHeight="1" x14ac:dyDescent="0.2">
      <c r="C364" s="48"/>
      <c r="F364" s="48"/>
      <c r="H364" s="48"/>
    </row>
    <row r="365" spans="3:8" ht="15.75" customHeight="1" x14ac:dyDescent="0.2">
      <c r="C365" s="48"/>
      <c r="F365" s="48"/>
      <c r="H365" s="48"/>
    </row>
    <row r="366" spans="3:8" ht="15.75" customHeight="1" x14ac:dyDescent="0.2">
      <c r="C366" s="48"/>
      <c r="F366" s="48"/>
      <c r="H366" s="48"/>
    </row>
    <row r="367" spans="3:8" ht="15.75" customHeight="1" x14ac:dyDescent="0.2">
      <c r="C367" s="48"/>
      <c r="F367" s="48"/>
      <c r="H367" s="48"/>
    </row>
    <row r="368" spans="3:8" ht="15.75" customHeight="1" x14ac:dyDescent="0.2">
      <c r="C368" s="48"/>
      <c r="F368" s="48"/>
      <c r="H368" s="48"/>
    </row>
    <row r="369" spans="3:8" ht="15.75" customHeight="1" x14ac:dyDescent="0.2">
      <c r="C369" s="48"/>
      <c r="F369" s="48"/>
      <c r="H369" s="48"/>
    </row>
    <row r="370" spans="3:8" ht="15.75" customHeight="1" x14ac:dyDescent="0.2">
      <c r="C370" s="48"/>
      <c r="F370" s="48"/>
      <c r="H370" s="48"/>
    </row>
    <row r="371" spans="3:8" ht="15.75" customHeight="1" x14ac:dyDescent="0.2">
      <c r="C371" s="48"/>
      <c r="F371" s="48"/>
      <c r="H371" s="48"/>
    </row>
    <row r="372" spans="3:8" ht="15.75" customHeight="1" x14ac:dyDescent="0.2">
      <c r="C372" s="48"/>
      <c r="F372" s="48"/>
      <c r="H372" s="48"/>
    </row>
    <row r="373" spans="3:8" ht="15.75" customHeight="1" x14ac:dyDescent="0.2">
      <c r="C373" s="48"/>
      <c r="F373" s="48"/>
      <c r="H373" s="48"/>
    </row>
    <row r="374" spans="3:8" ht="15.75" customHeight="1" x14ac:dyDescent="0.2">
      <c r="C374" s="48"/>
      <c r="F374" s="48"/>
      <c r="H374" s="48"/>
    </row>
    <row r="375" spans="3:8" ht="15.75" customHeight="1" x14ac:dyDescent="0.2">
      <c r="C375" s="48"/>
      <c r="F375" s="48"/>
      <c r="H375" s="48"/>
    </row>
    <row r="376" spans="3:8" ht="15.75" customHeight="1" x14ac:dyDescent="0.2">
      <c r="C376" s="48"/>
      <c r="F376" s="48"/>
      <c r="H376" s="48"/>
    </row>
    <row r="377" spans="3:8" ht="15.75" customHeight="1" x14ac:dyDescent="0.2">
      <c r="C377" s="48"/>
      <c r="F377" s="48"/>
      <c r="H377" s="48"/>
    </row>
    <row r="378" spans="3:8" ht="15.75" customHeight="1" x14ac:dyDescent="0.2">
      <c r="C378" s="48"/>
      <c r="F378" s="48"/>
      <c r="H378" s="48"/>
    </row>
    <row r="379" spans="3:8" ht="15.75" customHeight="1" x14ac:dyDescent="0.2">
      <c r="C379" s="48"/>
      <c r="F379" s="48"/>
      <c r="H379" s="48"/>
    </row>
    <row r="380" spans="3:8" ht="15.75" customHeight="1" x14ac:dyDescent="0.2">
      <c r="C380" s="48"/>
      <c r="F380" s="48"/>
      <c r="H380" s="48"/>
    </row>
    <row r="381" spans="3:8" ht="15.75" customHeight="1" x14ac:dyDescent="0.2">
      <c r="C381" s="48"/>
      <c r="F381" s="48"/>
      <c r="H381" s="48"/>
    </row>
    <row r="382" spans="3:8" ht="15.75" customHeight="1" x14ac:dyDescent="0.2">
      <c r="C382" s="48"/>
      <c r="F382" s="48"/>
      <c r="H382" s="48"/>
    </row>
    <row r="383" spans="3:8" ht="15.75" customHeight="1" x14ac:dyDescent="0.2">
      <c r="C383" s="48"/>
      <c r="F383" s="48"/>
      <c r="H383" s="48"/>
    </row>
    <row r="384" spans="3:8" ht="15.75" customHeight="1" x14ac:dyDescent="0.2">
      <c r="C384" s="48"/>
      <c r="F384" s="48"/>
      <c r="H384" s="48"/>
    </row>
    <row r="385" spans="3:8" ht="15.75" customHeight="1" x14ac:dyDescent="0.2">
      <c r="C385" s="48"/>
      <c r="F385" s="48"/>
      <c r="H385" s="48"/>
    </row>
    <row r="386" spans="3:8" ht="15.75" customHeight="1" x14ac:dyDescent="0.2">
      <c r="C386" s="48"/>
      <c r="F386" s="48"/>
      <c r="H386" s="48"/>
    </row>
    <row r="387" spans="3:8" ht="15.75" customHeight="1" x14ac:dyDescent="0.2">
      <c r="C387" s="48"/>
      <c r="F387" s="48"/>
      <c r="H387" s="48"/>
    </row>
    <row r="388" spans="3:8" ht="15.75" customHeight="1" x14ac:dyDescent="0.2">
      <c r="C388" s="48"/>
      <c r="F388" s="48"/>
      <c r="H388" s="48"/>
    </row>
    <row r="389" spans="3:8" ht="15.75" customHeight="1" x14ac:dyDescent="0.2">
      <c r="C389" s="48"/>
      <c r="F389" s="48"/>
      <c r="H389" s="48"/>
    </row>
    <row r="390" spans="3:8" ht="15.75" customHeight="1" x14ac:dyDescent="0.2">
      <c r="C390" s="48"/>
      <c r="F390" s="48"/>
      <c r="H390" s="48"/>
    </row>
    <row r="391" spans="3:8" ht="15.75" customHeight="1" x14ac:dyDescent="0.2">
      <c r="C391" s="48"/>
      <c r="F391" s="48"/>
      <c r="H391" s="48"/>
    </row>
    <row r="392" spans="3:8" ht="15.75" customHeight="1" x14ac:dyDescent="0.2">
      <c r="C392" s="48"/>
      <c r="F392" s="48"/>
      <c r="H392" s="48"/>
    </row>
    <row r="393" spans="3:8" ht="15.75" customHeight="1" x14ac:dyDescent="0.2">
      <c r="C393" s="48"/>
      <c r="F393" s="48"/>
      <c r="H393" s="48"/>
    </row>
    <row r="394" spans="3:8" ht="15.75" customHeight="1" x14ac:dyDescent="0.2">
      <c r="C394" s="48"/>
      <c r="F394" s="48"/>
      <c r="H394" s="48"/>
    </row>
    <row r="395" spans="3:8" ht="15.75" customHeight="1" x14ac:dyDescent="0.2">
      <c r="C395" s="48"/>
      <c r="F395" s="48"/>
      <c r="H395" s="48"/>
    </row>
    <row r="396" spans="3:8" ht="15.75" customHeight="1" x14ac:dyDescent="0.2">
      <c r="C396" s="48"/>
      <c r="F396" s="48"/>
      <c r="H396" s="48"/>
    </row>
    <row r="397" spans="3:8" ht="15.75" customHeight="1" x14ac:dyDescent="0.2">
      <c r="C397" s="48"/>
      <c r="F397" s="48"/>
      <c r="H397" s="48"/>
    </row>
    <row r="398" spans="3:8" ht="15.75" customHeight="1" x14ac:dyDescent="0.2">
      <c r="C398" s="48"/>
      <c r="F398" s="48"/>
      <c r="H398" s="48"/>
    </row>
    <row r="399" spans="3:8" ht="15.75" customHeight="1" x14ac:dyDescent="0.2">
      <c r="C399" s="48"/>
      <c r="F399" s="48"/>
      <c r="H399" s="48"/>
    </row>
    <row r="400" spans="3:8" ht="15.75" customHeight="1" x14ac:dyDescent="0.2">
      <c r="C400" s="48"/>
      <c r="F400" s="48"/>
      <c r="H400" s="48"/>
    </row>
    <row r="401" spans="3:8" ht="15.75" customHeight="1" x14ac:dyDescent="0.2">
      <c r="C401" s="48"/>
      <c r="F401" s="48"/>
      <c r="H401" s="48"/>
    </row>
    <row r="402" spans="3:8" ht="15.75" customHeight="1" x14ac:dyDescent="0.2">
      <c r="C402" s="48"/>
      <c r="F402" s="48"/>
      <c r="H402" s="48"/>
    </row>
    <row r="403" spans="3:8" ht="15.75" customHeight="1" x14ac:dyDescent="0.2">
      <c r="C403" s="48"/>
      <c r="F403" s="48"/>
      <c r="H403" s="48"/>
    </row>
    <row r="404" spans="3:8" ht="15.75" customHeight="1" x14ac:dyDescent="0.2">
      <c r="C404" s="48"/>
      <c r="F404" s="48"/>
      <c r="H404" s="48"/>
    </row>
    <row r="405" spans="3:8" ht="15.75" customHeight="1" x14ac:dyDescent="0.2">
      <c r="C405" s="48"/>
      <c r="F405" s="48"/>
      <c r="H405" s="48"/>
    </row>
    <row r="406" spans="3:8" ht="15.75" customHeight="1" x14ac:dyDescent="0.2">
      <c r="C406" s="48"/>
      <c r="F406" s="48"/>
      <c r="H406" s="48"/>
    </row>
    <row r="407" spans="3:8" ht="15.75" customHeight="1" x14ac:dyDescent="0.2">
      <c r="C407" s="48"/>
      <c r="F407" s="48"/>
      <c r="H407" s="48"/>
    </row>
    <row r="408" spans="3:8" ht="15.75" customHeight="1" x14ac:dyDescent="0.2">
      <c r="C408" s="48"/>
      <c r="F408" s="48"/>
      <c r="H408" s="48"/>
    </row>
    <row r="409" spans="3:8" ht="15.75" customHeight="1" x14ac:dyDescent="0.2">
      <c r="C409" s="48"/>
      <c r="F409" s="48"/>
      <c r="H409" s="48"/>
    </row>
    <row r="410" spans="3:8" ht="15.75" customHeight="1" x14ac:dyDescent="0.2">
      <c r="C410" s="48"/>
      <c r="F410" s="48"/>
      <c r="H410" s="48"/>
    </row>
    <row r="411" spans="3:8" ht="15.75" customHeight="1" x14ac:dyDescent="0.2">
      <c r="C411" s="48"/>
      <c r="F411" s="48"/>
      <c r="H411" s="48"/>
    </row>
    <row r="412" spans="3:8" ht="15.75" customHeight="1" x14ac:dyDescent="0.2">
      <c r="C412" s="48"/>
      <c r="F412" s="48"/>
      <c r="H412" s="48"/>
    </row>
    <row r="413" spans="3:8" ht="15.75" customHeight="1" x14ac:dyDescent="0.2">
      <c r="C413" s="48"/>
      <c r="F413" s="48"/>
      <c r="H413" s="48"/>
    </row>
    <row r="414" spans="3:8" ht="15.75" customHeight="1" x14ac:dyDescent="0.2">
      <c r="C414" s="48"/>
      <c r="F414" s="48"/>
      <c r="H414" s="48"/>
    </row>
    <row r="415" spans="3:8" ht="15.75" customHeight="1" x14ac:dyDescent="0.2">
      <c r="C415" s="48"/>
      <c r="F415" s="48"/>
      <c r="H415" s="48"/>
    </row>
    <row r="416" spans="3:8" ht="15.75" customHeight="1" x14ac:dyDescent="0.2">
      <c r="C416" s="48"/>
      <c r="F416" s="48"/>
      <c r="H416" s="48"/>
    </row>
    <row r="417" spans="3:8" ht="15.75" customHeight="1" x14ac:dyDescent="0.2">
      <c r="C417" s="48"/>
      <c r="F417" s="48"/>
      <c r="H417" s="48"/>
    </row>
    <row r="418" spans="3:8" ht="15.75" customHeight="1" x14ac:dyDescent="0.2">
      <c r="C418" s="48"/>
      <c r="F418" s="48"/>
      <c r="H418" s="48"/>
    </row>
    <row r="419" spans="3:8" ht="15.75" customHeight="1" x14ac:dyDescent="0.2">
      <c r="C419" s="48"/>
      <c r="F419" s="48"/>
      <c r="H419" s="48"/>
    </row>
    <row r="420" spans="3:8" ht="15.75" customHeight="1" x14ac:dyDescent="0.2">
      <c r="C420" s="48"/>
      <c r="F420" s="48"/>
      <c r="H420" s="48"/>
    </row>
    <row r="421" spans="3:8" ht="15.75" customHeight="1" x14ac:dyDescent="0.2">
      <c r="C421" s="48"/>
      <c r="F421" s="48"/>
      <c r="H421" s="48"/>
    </row>
    <row r="422" spans="3:8" ht="15.75" customHeight="1" x14ac:dyDescent="0.2">
      <c r="C422" s="48"/>
      <c r="F422" s="48"/>
      <c r="H422" s="48"/>
    </row>
    <row r="423" spans="3:8" ht="15.75" customHeight="1" x14ac:dyDescent="0.2">
      <c r="C423" s="48"/>
      <c r="F423" s="48"/>
      <c r="H423" s="48"/>
    </row>
    <row r="424" spans="3:8" ht="15.75" customHeight="1" x14ac:dyDescent="0.2">
      <c r="C424" s="48"/>
      <c r="F424" s="48"/>
      <c r="H424" s="48"/>
    </row>
    <row r="425" spans="3:8" ht="15.75" customHeight="1" x14ac:dyDescent="0.2">
      <c r="C425" s="48"/>
      <c r="F425" s="48"/>
      <c r="H425" s="48"/>
    </row>
    <row r="426" spans="3:8" ht="15.75" customHeight="1" x14ac:dyDescent="0.2">
      <c r="C426" s="48"/>
      <c r="F426" s="48"/>
      <c r="H426" s="48"/>
    </row>
    <row r="427" spans="3:8" ht="15.75" customHeight="1" x14ac:dyDescent="0.2">
      <c r="C427" s="48"/>
      <c r="F427" s="48"/>
      <c r="H427" s="48"/>
    </row>
    <row r="428" spans="3:8" ht="15.75" customHeight="1" x14ac:dyDescent="0.2">
      <c r="C428" s="48"/>
      <c r="F428" s="48"/>
      <c r="H428" s="48"/>
    </row>
    <row r="429" spans="3:8" ht="15.75" customHeight="1" x14ac:dyDescent="0.2">
      <c r="C429" s="48"/>
      <c r="F429" s="48"/>
      <c r="H429" s="48"/>
    </row>
    <row r="430" spans="3:8" ht="15.75" customHeight="1" x14ac:dyDescent="0.2">
      <c r="C430" s="48"/>
      <c r="F430" s="48"/>
      <c r="H430" s="48"/>
    </row>
    <row r="431" spans="3:8" ht="15.75" customHeight="1" x14ac:dyDescent="0.2">
      <c r="C431" s="48"/>
      <c r="F431" s="48"/>
      <c r="H431" s="48"/>
    </row>
    <row r="432" spans="3:8" ht="15.75" customHeight="1" x14ac:dyDescent="0.2">
      <c r="C432" s="48"/>
      <c r="F432" s="48"/>
      <c r="H432" s="48"/>
    </row>
    <row r="433" spans="3:8" ht="15.75" customHeight="1" x14ac:dyDescent="0.2">
      <c r="C433" s="48"/>
      <c r="F433" s="48"/>
      <c r="H433" s="48"/>
    </row>
    <row r="434" spans="3:8" ht="15.75" customHeight="1" x14ac:dyDescent="0.2">
      <c r="C434" s="48"/>
      <c r="F434" s="48"/>
      <c r="H434" s="48"/>
    </row>
    <row r="435" spans="3:8" ht="15.75" customHeight="1" x14ac:dyDescent="0.2">
      <c r="C435" s="48"/>
      <c r="F435" s="48"/>
      <c r="H435" s="48"/>
    </row>
    <row r="436" spans="3:8" ht="15.75" customHeight="1" x14ac:dyDescent="0.2">
      <c r="C436" s="48"/>
      <c r="F436" s="48"/>
      <c r="H436" s="48"/>
    </row>
    <row r="437" spans="3:8" ht="15.75" customHeight="1" x14ac:dyDescent="0.2">
      <c r="C437" s="48"/>
      <c r="F437" s="48"/>
      <c r="H437" s="48"/>
    </row>
    <row r="438" spans="3:8" ht="15.75" customHeight="1" x14ac:dyDescent="0.2">
      <c r="C438" s="48"/>
      <c r="F438" s="48"/>
      <c r="H438" s="48"/>
    </row>
    <row r="439" spans="3:8" ht="15.75" customHeight="1" x14ac:dyDescent="0.2">
      <c r="C439" s="48"/>
      <c r="F439" s="48"/>
      <c r="H439" s="48"/>
    </row>
    <row r="440" spans="3:8" ht="15.75" customHeight="1" x14ac:dyDescent="0.2">
      <c r="C440" s="48"/>
      <c r="F440" s="48"/>
      <c r="H440" s="48"/>
    </row>
    <row r="441" spans="3:8" ht="15.75" customHeight="1" x14ac:dyDescent="0.2">
      <c r="C441" s="48"/>
      <c r="F441" s="48"/>
      <c r="H441" s="48"/>
    </row>
    <row r="442" spans="3:8" ht="15.75" customHeight="1" x14ac:dyDescent="0.2">
      <c r="C442" s="48"/>
      <c r="F442" s="48"/>
      <c r="H442" s="48"/>
    </row>
    <row r="443" spans="3:8" ht="15.75" customHeight="1" x14ac:dyDescent="0.2">
      <c r="C443" s="48"/>
      <c r="F443" s="48"/>
      <c r="H443" s="48"/>
    </row>
    <row r="444" spans="3:8" ht="15.75" customHeight="1" x14ac:dyDescent="0.2">
      <c r="C444" s="48"/>
      <c r="F444" s="48"/>
      <c r="H444" s="48"/>
    </row>
    <row r="445" spans="3:8" ht="15.75" customHeight="1" x14ac:dyDescent="0.2">
      <c r="C445" s="48"/>
      <c r="F445" s="48"/>
      <c r="H445" s="48"/>
    </row>
    <row r="446" spans="3:8" ht="15.75" customHeight="1" x14ac:dyDescent="0.2">
      <c r="C446" s="48"/>
      <c r="F446" s="48"/>
      <c r="H446" s="48"/>
    </row>
    <row r="447" spans="3:8" ht="15.75" customHeight="1" x14ac:dyDescent="0.2">
      <c r="C447" s="48"/>
      <c r="F447" s="48"/>
      <c r="H447" s="48"/>
    </row>
    <row r="448" spans="3:8" ht="15.75" customHeight="1" x14ac:dyDescent="0.2">
      <c r="C448" s="48"/>
      <c r="F448" s="48"/>
      <c r="H448" s="48"/>
    </row>
    <row r="449" spans="3:8" ht="15.75" customHeight="1" x14ac:dyDescent="0.2">
      <c r="C449" s="48"/>
      <c r="F449" s="48"/>
      <c r="H449" s="48"/>
    </row>
    <row r="450" spans="3:8" ht="15.75" customHeight="1" x14ac:dyDescent="0.2">
      <c r="C450" s="48"/>
      <c r="F450" s="48"/>
      <c r="H450" s="48"/>
    </row>
    <row r="451" spans="3:8" ht="15.75" customHeight="1" x14ac:dyDescent="0.2">
      <c r="C451" s="48"/>
      <c r="F451" s="48"/>
      <c r="H451" s="48"/>
    </row>
    <row r="452" spans="3:8" ht="15.75" customHeight="1" x14ac:dyDescent="0.2">
      <c r="C452" s="48"/>
      <c r="F452" s="48"/>
      <c r="H452" s="48"/>
    </row>
    <row r="453" spans="3:8" ht="15.75" customHeight="1" x14ac:dyDescent="0.2">
      <c r="C453" s="48"/>
      <c r="F453" s="48"/>
      <c r="H453" s="48"/>
    </row>
    <row r="454" spans="3:8" ht="15.75" customHeight="1" x14ac:dyDescent="0.2">
      <c r="C454" s="48"/>
      <c r="F454" s="48"/>
      <c r="H454" s="48"/>
    </row>
    <row r="455" spans="3:8" ht="15.75" customHeight="1" x14ac:dyDescent="0.2">
      <c r="C455" s="48"/>
      <c r="F455" s="48"/>
      <c r="H455" s="48"/>
    </row>
    <row r="456" spans="3:8" ht="15.75" customHeight="1" x14ac:dyDescent="0.2">
      <c r="C456" s="48"/>
      <c r="F456" s="48"/>
      <c r="H456" s="48"/>
    </row>
    <row r="457" spans="3:8" ht="15.75" customHeight="1" x14ac:dyDescent="0.2">
      <c r="C457" s="48"/>
      <c r="F457" s="48"/>
      <c r="H457" s="48"/>
    </row>
    <row r="458" spans="3:8" ht="15.75" customHeight="1" x14ac:dyDescent="0.2">
      <c r="C458" s="48"/>
      <c r="F458" s="48"/>
      <c r="H458" s="48"/>
    </row>
    <row r="459" spans="3:8" ht="15.75" customHeight="1" x14ac:dyDescent="0.2">
      <c r="C459" s="48"/>
      <c r="F459" s="48"/>
      <c r="H459" s="48"/>
    </row>
    <row r="460" spans="3:8" ht="15.75" customHeight="1" x14ac:dyDescent="0.2">
      <c r="C460" s="48"/>
      <c r="F460" s="48"/>
      <c r="H460" s="48"/>
    </row>
    <row r="461" spans="3:8" ht="15.75" customHeight="1" x14ac:dyDescent="0.2">
      <c r="C461" s="48"/>
      <c r="F461" s="48"/>
      <c r="H461" s="48"/>
    </row>
    <row r="462" spans="3:8" ht="15.75" customHeight="1" x14ac:dyDescent="0.2">
      <c r="C462" s="48"/>
      <c r="F462" s="48"/>
      <c r="H462" s="48"/>
    </row>
    <row r="463" spans="3:8" ht="15.75" customHeight="1" x14ac:dyDescent="0.2">
      <c r="C463" s="48"/>
      <c r="F463" s="48"/>
      <c r="H463" s="48"/>
    </row>
    <row r="464" spans="3:8" ht="15.75" customHeight="1" x14ac:dyDescent="0.2">
      <c r="C464" s="48"/>
      <c r="F464" s="48"/>
      <c r="H464" s="48"/>
    </row>
    <row r="465" spans="3:8" ht="15.75" customHeight="1" x14ac:dyDescent="0.2">
      <c r="C465" s="48"/>
      <c r="F465" s="48"/>
      <c r="H465" s="48"/>
    </row>
    <row r="466" spans="3:8" ht="15.75" customHeight="1" x14ac:dyDescent="0.2">
      <c r="C466" s="48"/>
      <c r="F466" s="48"/>
      <c r="H466" s="48"/>
    </row>
    <row r="467" spans="3:8" ht="15.75" customHeight="1" x14ac:dyDescent="0.2">
      <c r="C467" s="48"/>
      <c r="F467" s="48"/>
      <c r="H467" s="48"/>
    </row>
    <row r="468" spans="3:8" ht="15.75" customHeight="1" x14ac:dyDescent="0.2">
      <c r="C468" s="48"/>
      <c r="F468" s="48"/>
      <c r="H468" s="48"/>
    </row>
    <row r="469" spans="3:8" ht="15.75" customHeight="1" x14ac:dyDescent="0.2">
      <c r="C469" s="48"/>
      <c r="F469" s="48"/>
      <c r="H469" s="48"/>
    </row>
    <row r="470" spans="3:8" ht="15.75" customHeight="1" x14ac:dyDescent="0.2">
      <c r="C470" s="48"/>
      <c r="F470" s="48"/>
      <c r="H470" s="48"/>
    </row>
    <row r="471" spans="3:8" ht="15.75" customHeight="1" x14ac:dyDescent="0.2">
      <c r="C471" s="48"/>
      <c r="F471" s="48"/>
      <c r="H471" s="48"/>
    </row>
    <row r="472" spans="3:8" ht="15.75" customHeight="1" x14ac:dyDescent="0.2">
      <c r="C472" s="48"/>
      <c r="F472" s="48"/>
      <c r="H472" s="48"/>
    </row>
    <row r="473" spans="3:8" ht="15.75" customHeight="1" x14ac:dyDescent="0.2">
      <c r="C473" s="48"/>
      <c r="F473" s="48"/>
      <c r="H473" s="48"/>
    </row>
    <row r="474" spans="3:8" ht="15.75" customHeight="1" x14ac:dyDescent="0.2">
      <c r="C474" s="48"/>
      <c r="F474" s="48"/>
      <c r="H474" s="48"/>
    </row>
    <row r="475" spans="3:8" ht="15.75" customHeight="1" x14ac:dyDescent="0.2">
      <c r="C475" s="48"/>
      <c r="F475" s="48"/>
      <c r="H475" s="48"/>
    </row>
    <row r="476" spans="3:8" ht="15.75" customHeight="1" x14ac:dyDescent="0.2">
      <c r="C476" s="48"/>
      <c r="F476" s="48"/>
      <c r="H476" s="48"/>
    </row>
    <row r="477" spans="3:8" ht="15.75" customHeight="1" x14ac:dyDescent="0.2">
      <c r="C477" s="48"/>
      <c r="F477" s="48"/>
      <c r="H477" s="48"/>
    </row>
    <row r="478" spans="3:8" ht="15.75" customHeight="1" x14ac:dyDescent="0.2">
      <c r="C478" s="48"/>
      <c r="F478" s="48"/>
      <c r="H478" s="48"/>
    </row>
    <row r="479" spans="3:8" ht="15.75" customHeight="1" x14ac:dyDescent="0.2">
      <c r="C479" s="48"/>
      <c r="F479" s="48"/>
      <c r="H479" s="48"/>
    </row>
    <row r="480" spans="3:8" ht="15.75" customHeight="1" x14ac:dyDescent="0.2">
      <c r="C480" s="48"/>
      <c r="F480" s="48"/>
      <c r="H480" s="48"/>
    </row>
    <row r="481" spans="3:8" ht="15.75" customHeight="1" x14ac:dyDescent="0.2">
      <c r="C481" s="48"/>
      <c r="F481" s="48"/>
      <c r="H481" s="48"/>
    </row>
    <row r="482" spans="3:8" ht="15.75" customHeight="1" x14ac:dyDescent="0.2">
      <c r="C482" s="48"/>
      <c r="F482" s="48"/>
      <c r="H482" s="48"/>
    </row>
    <row r="483" spans="3:8" ht="15.75" customHeight="1" x14ac:dyDescent="0.2">
      <c r="C483" s="48"/>
      <c r="F483" s="48"/>
      <c r="H483" s="48"/>
    </row>
    <row r="484" spans="3:8" ht="15.75" customHeight="1" x14ac:dyDescent="0.2">
      <c r="C484" s="48"/>
      <c r="F484" s="48"/>
      <c r="H484" s="48"/>
    </row>
    <row r="485" spans="3:8" ht="15.75" customHeight="1" x14ac:dyDescent="0.2">
      <c r="C485" s="48"/>
      <c r="F485" s="48"/>
      <c r="H485" s="48"/>
    </row>
    <row r="486" spans="3:8" ht="15.75" customHeight="1" x14ac:dyDescent="0.2">
      <c r="C486" s="48"/>
      <c r="F486" s="48"/>
      <c r="H486" s="48"/>
    </row>
    <row r="487" spans="3:8" ht="15.75" customHeight="1" x14ac:dyDescent="0.2">
      <c r="C487" s="48"/>
      <c r="F487" s="48"/>
      <c r="H487" s="48"/>
    </row>
    <row r="488" spans="3:8" ht="15.75" customHeight="1" x14ac:dyDescent="0.2">
      <c r="C488" s="48"/>
      <c r="F488" s="48"/>
      <c r="H488" s="48"/>
    </row>
    <row r="489" spans="3:8" ht="15.75" customHeight="1" x14ac:dyDescent="0.2">
      <c r="C489" s="48"/>
      <c r="F489" s="48"/>
      <c r="H489" s="48"/>
    </row>
    <row r="490" spans="3:8" ht="15.75" customHeight="1" x14ac:dyDescent="0.2">
      <c r="C490" s="48"/>
      <c r="F490" s="48"/>
      <c r="H490" s="48"/>
    </row>
    <row r="491" spans="3:8" ht="15.75" customHeight="1" x14ac:dyDescent="0.2">
      <c r="C491" s="48"/>
      <c r="F491" s="48"/>
      <c r="H491" s="48"/>
    </row>
    <row r="492" spans="3:8" ht="15.75" customHeight="1" x14ac:dyDescent="0.2">
      <c r="C492" s="48"/>
      <c r="F492" s="48"/>
      <c r="H492" s="48"/>
    </row>
    <row r="493" spans="3:8" ht="15.75" customHeight="1" x14ac:dyDescent="0.2">
      <c r="C493" s="48"/>
      <c r="F493" s="48"/>
      <c r="H493" s="48"/>
    </row>
    <row r="494" spans="3:8" ht="15.75" customHeight="1" x14ac:dyDescent="0.2">
      <c r="C494" s="48"/>
      <c r="F494" s="48"/>
      <c r="H494" s="48"/>
    </row>
    <row r="495" spans="3:8" ht="15.75" customHeight="1" x14ac:dyDescent="0.2">
      <c r="C495" s="48"/>
      <c r="F495" s="48"/>
      <c r="H495" s="48"/>
    </row>
    <row r="496" spans="3:8" ht="15.75" customHeight="1" x14ac:dyDescent="0.2">
      <c r="C496" s="48"/>
      <c r="F496" s="48"/>
      <c r="H496" s="48"/>
    </row>
    <row r="497" spans="3:8" ht="15.75" customHeight="1" x14ac:dyDescent="0.2">
      <c r="C497" s="48"/>
      <c r="F497" s="48"/>
      <c r="H497" s="48"/>
    </row>
    <row r="498" spans="3:8" ht="15.75" customHeight="1" x14ac:dyDescent="0.2">
      <c r="C498" s="48"/>
      <c r="F498" s="48"/>
      <c r="H498" s="48"/>
    </row>
    <row r="499" spans="3:8" ht="15.75" customHeight="1" x14ac:dyDescent="0.2">
      <c r="C499" s="48"/>
      <c r="F499" s="48"/>
      <c r="H499" s="48"/>
    </row>
    <row r="500" spans="3:8" ht="15.75" customHeight="1" x14ac:dyDescent="0.2">
      <c r="C500" s="48"/>
      <c r="F500" s="48"/>
      <c r="H500" s="48"/>
    </row>
    <row r="501" spans="3:8" ht="15.75" customHeight="1" x14ac:dyDescent="0.2">
      <c r="C501" s="48"/>
      <c r="F501" s="48"/>
      <c r="H501" s="48"/>
    </row>
    <row r="502" spans="3:8" ht="15.75" customHeight="1" x14ac:dyDescent="0.2">
      <c r="C502" s="48"/>
      <c r="F502" s="48"/>
      <c r="H502" s="48"/>
    </row>
    <row r="503" spans="3:8" ht="15.75" customHeight="1" x14ac:dyDescent="0.2">
      <c r="C503" s="48"/>
      <c r="F503" s="48"/>
      <c r="H503" s="48"/>
    </row>
    <row r="504" spans="3:8" ht="15.75" customHeight="1" x14ac:dyDescent="0.2">
      <c r="C504" s="48"/>
      <c r="F504" s="48"/>
      <c r="H504" s="48"/>
    </row>
    <row r="505" spans="3:8" ht="15.75" customHeight="1" x14ac:dyDescent="0.2">
      <c r="C505" s="48"/>
      <c r="F505" s="48"/>
      <c r="H505" s="48"/>
    </row>
    <row r="506" spans="3:8" ht="15.75" customHeight="1" x14ac:dyDescent="0.2">
      <c r="C506" s="48"/>
      <c r="F506" s="48"/>
      <c r="H506" s="48"/>
    </row>
    <row r="507" spans="3:8" ht="15.75" customHeight="1" x14ac:dyDescent="0.2">
      <c r="C507" s="48"/>
      <c r="F507" s="48"/>
      <c r="H507" s="48"/>
    </row>
    <row r="508" spans="3:8" ht="15.75" customHeight="1" x14ac:dyDescent="0.2">
      <c r="C508" s="48"/>
      <c r="F508" s="48"/>
      <c r="H508" s="48"/>
    </row>
    <row r="509" spans="3:8" ht="15.75" customHeight="1" x14ac:dyDescent="0.2">
      <c r="C509" s="48"/>
      <c r="F509" s="48"/>
      <c r="H509" s="48"/>
    </row>
    <row r="510" spans="3:8" ht="15.75" customHeight="1" x14ac:dyDescent="0.2">
      <c r="C510" s="48"/>
      <c r="F510" s="48"/>
      <c r="H510" s="48"/>
    </row>
    <row r="511" spans="3:8" ht="15.75" customHeight="1" x14ac:dyDescent="0.2">
      <c r="C511" s="48"/>
      <c r="F511" s="48"/>
      <c r="H511" s="48"/>
    </row>
    <row r="512" spans="3:8" ht="15.75" customHeight="1" x14ac:dyDescent="0.2">
      <c r="C512" s="48"/>
      <c r="F512" s="48"/>
      <c r="H512" s="48"/>
    </row>
    <row r="513" spans="3:8" ht="15.75" customHeight="1" x14ac:dyDescent="0.2">
      <c r="C513" s="48"/>
      <c r="F513" s="48"/>
      <c r="H513" s="48"/>
    </row>
    <row r="514" spans="3:8" ht="15.75" customHeight="1" x14ac:dyDescent="0.2">
      <c r="C514" s="48"/>
      <c r="F514" s="48"/>
      <c r="H514" s="48"/>
    </row>
    <row r="515" spans="3:8" ht="15.75" customHeight="1" x14ac:dyDescent="0.2">
      <c r="C515" s="48"/>
      <c r="F515" s="48"/>
      <c r="H515" s="48"/>
    </row>
    <row r="516" spans="3:8" ht="15.75" customHeight="1" x14ac:dyDescent="0.2">
      <c r="C516" s="48"/>
      <c r="F516" s="48"/>
      <c r="H516" s="48"/>
    </row>
    <row r="517" spans="3:8" ht="15.75" customHeight="1" x14ac:dyDescent="0.2">
      <c r="C517" s="48"/>
      <c r="F517" s="48"/>
      <c r="H517" s="48"/>
    </row>
    <row r="518" spans="3:8" ht="15.75" customHeight="1" x14ac:dyDescent="0.2">
      <c r="C518" s="48"/>
      <c r="F518" s="48"/>
      <c r="H518" s="48"/>
    </row>
    <row r="519" spans="3:8" ht="15.75" customHeight="1" x14ac:dyDescent="0.2">
      <c r="C519" s="48"/>
      <c r="F519" s="48"/>
      <c r="H519" s="48"/>
    </row>
    <row r="520" spans="3:8" ht="15.75" customHeight="1" x14ac:dyDescent="0.2">
      <c r="C520" s="48"/>
      <c r="F520" s="48"/>
      <c r="H520" s="48"/>
    </row>
    <row r="521" spans="3:8" ht="15.75" customHeight="1" x14ac:dyDescent="0.2">
      <c r="C521" s="48"/>
      <c r="F521" s="48"/>
      <c r="H521" s="48"/>
    </row>
    <row r="522" spans="3:8" ht="15.75" customHeight="1" x14ac:dyDescent="0.2">
      <c r="C522" s="48"/>
      <c r="F522" s="48"/>
      <c r="H522" s="48"/>
    </row>
    <row r="523" spans="3:8" ht="15.75" customHeight="1" x14ac:dyDescent="0.2">
      <c r="C523" s="48"/>
      <c r="F523" s="48"/>
      <c r="H523" s="48"/>
    </row>
    <row r="524" spans="3:8" ht="15.75" customHeight="1" x14ac:dyDescent="0.2">
      <c r="C524" s="48"/>
      <c r="F524" s="48"/>
      <c r="H524" s="48"/>
    </row>
    <row r="525" spans="3:8" ht="15.75" customHeight="1" x14ac:dyDescent="0.2">
      <c r="C525" s="48"/>
      <c r="F525" s="48"/>
      <c r="H525" s="48"/>
    </row>
    <row r="526" spans="3:8" ht="15.75" customHeight="1" x14ac:dyDescent="0.2">
      <c r="C526" s="48"/>
      <c r="F526" s="48"/>
      <c r="H526" s="48"/>
    </row>
    <row r="527" spans="3:8" ht="15.75" customHeight="1" x14ac:dyDescent="0.2">
      <c r="C527" s="48"/>
      <c r="F527" s="48"/>
      <c r="H527" s="48"/>
    </row>
    <row r="528" spans="3:8" ht="15.75" customHeight="1" x14ac:dyDescent="0.2">
      <c r="C528" s="48"/>
      <c r="F528" s="48"/>
      <c r="H528" s="48"/>
    </row>
    <row r="529" spans="3:8" ht="15.75" customHeight="1" x14ac:dyDescent="0.2">
      <c r="C529" s="48"/>
      <c r="F529" s="48"/>
      <c r="H529" s="48"/>
    </row>
    <row r="530" spans="3:8" ht="15.75" customHeight="1" x14ac:dyDescent="0.2">
      <c r="C530" s="48"/>
      <c r="F530" s="48"/>
      <c r="H530" s="48"/>
    </row>
    <row r="531" spans="3:8" ht="15.75" customHeight="1" x14ac:dyDescent="0.2">
      <c r="C531" s="48"/>
      <c r="F531" s="48"/>
      <c r="H531" s="48"/>
    </row>
    <row r="532" spans="3:8" ht="15.75" customHeight="1" x14ac:dyDescent="0.2">
      <c r="C532" s="48"/>
      <c r="F532" s="48"/>
      <c r="H532" s="48"/>
    </row>
    <row r="533" spans="3:8" ht="15.75" customHeight="1" x14ac:dyDescent="0.2">
      <c r="C533" s="48"/>
      <c r="F533" s="48"/>
      <c r="H533" s="48"/>
    </row>
    <row r="534" spans="3:8" ht="15.75" customHeight="1" x14ac:dyDescent="0.2">
      <c r="C534" s="48"/>
      <c r="F534" s="48"/>
      <c r="H534" s="48"/>
    </row>
    <row r="535" spans="3:8" ht="15.75" customHeight="1" x14ac:dyDescent="0.2">
      <c r="C535" s="48"/>
      <c r="F535" s="48"/>
      <c r="H535" s="48"/>
    </row>
    <row r="536" spans="3:8" ht="15.75" customHeight="1" x14ac:dyDescent="0.2">
      <c r="C536" s="48"/>
      <c r="F536" s="48"/>
      <c r="H536" s="48"/>
    </row>
    <row r="537" spans="3:8" ht="15.75" customHeight="1" x14ac:dyDescent="0.2">
      <c r="C537" s="48"/>
      <c r="F537" s="48"/>
      <c r="H537" s="48"/>
    </row>
    <row r="538" spans="3:8" ht="15.75" customHeight="1" x14ac:dyDescent="0.2">
      <c r="C538" s="48"/>
      <c r="F538" s="48"/>
      <c r="H538" s="48"/>
    </row>
    <row r="539" spans="3:8" ht="15.75" customHeight="1" x14ac:dyDescent="0.2">
      <c r="C539" s="48"/>
      <c r="F539" s="48"/>
      <c r="H539" s="48"/>
    </row>
    <row r="540" spans="3:8" ht="15.75" customHeight="1" x14ac:dyDescent="0.2">
      <c r="C540" s="48"/>
      <c r="F540" s="48"/>
      <c r="H540" s="48"/>
    </row>
    <row r="541" spans="3:8" ht="15.75" customHeight="1" x14ac:dyDescent="0.2">
      <c r="C541" s="48"/>
      <c r="F541" s="48"/>
      <c r="H541" s="48"/>
    </row>
    <row r="542" spans="3:8" ht="15.75" customHeight="1" x14ac:dyDescent="0.2">
      <c r="C542" s="48"/>
      <c r="F542" s="48"/>
      <c r="H542" s="48"/>
    </row>
    <row r="543" spans="3:8" ht="15.75" customHeight="1" x14ac:dyDescent="0.2">
      <c r="C543" s="48"/>
      <c r="F543" s="48"/>
      <c r="H543" s="48"/>
    </row>
    <row r="544" spans="3:8" ht="15.75" customHeight="1" x14ac:dyDescent="0.2">
      <c r="C544" s="48"/>
      <c r="F544" s="48"/>
      <c r="H544" s="48"/>
    </row>
    <row r="545" spans="3:8" ht="15.75" customHeight="1" x14ac:dyDescent="0.2">
      <c r="C545" s="48"/>
      <c r="F545" s="48"/>
      <c r="H545" s="48"/>
    </row>
    <row r="546" spans="3:8" ht="15.75" customHeight="1" x14ac:dyDescent="0.2">
      <c r="C546" s="48"/>
      <c r="F546" s="48"/>
      <c r="H546" s="48"/>
    </row>
    <row r="547" spans="3:8" ht="15.75" customHeight="1" x14ac:dyDescent="0.2">
      <c r="C547" s="48"/>
      <c r="F547" s="48"/>
      <c r="H547" s="48"/>
    </row>
    <row r="548" spans="3:8" ht="15.75" customHeight="1" x14ac:dyDescent="0.2">
      <c r="C548" s="48"/>
      <c r="F548" s="48"/>
      <c r="H548" s="48"/>
    </row>
    <row r="549" spans="3:8" ht="15.75" customHeight="1" x14ac:dyDescent="0.2">
      <c r="C549" s="48"/>
      <c r="F549" s="48"/>
      <c r="H549" s="48"/>
    </row>
    <row r="550" spans="3:8" ht="15.75" customHeight="1" x14ac:dyDescent="0.2">
      <c r="C550" s="48"/>
      <c r="F550" s="48"/>
      <c r="H550" s="48"/>
    </row>
    <row r="551" spans="3:8" ht="15.75" customHeight="1" x14ac:dyDescent="0.2">
      <c r="C551" s="48"/>
      <c r="F551" s="48"/>
      <c r="H551" s="48"/>
    </row>
    <row r="552" spans="3:8" ht="15.75" customHeight="1" x14ac:dyDescent="0.2">
      <c r="C552" s="48"/>
      <c r="F552" s="48"/>
      <c r="H552" s="48"/>
    </row>
    <row r="553" spans="3:8" ht="15.75" customHeight="1" x14ac:dyDescent="0.2">
      <c r="C553" s="48"/>
      <c r="F553" s="48"/>
      <c r="H553" s="48"/>
    </row>
    <row r="554" spans="3:8" ht="15.75" customHeight="1" x14ac:dyDescent="0.2">
      <c r="C554" s="48"/>
      <c r="F554" s="48"/>
      <c r="H554" s="48"/>
    </row>
    <row r="555" spans="3:8" ht="15.75" customHeight="1" x14ac:dyDescent="0.2">
      <c r="C555" s="48"/>
      <c r="F555" s="48"/>
      <c r="H555" s="48"/>
    </row>
    <row r="556" spans="3:8" ht="15.75" customHeight="1" x14ac:dyDescent="0.2">
      <c r="C556" s="48"/>
      <c r="F556" s="48"/>
      <c r="H556" s="48"/>
    </row>
    <row r="557" spans="3:8" ht="15.75" customHeight="1" x14ac:dyDescent="0.2">
      <c r="C557" s="48"/>
      <c r="F557" s="48"/>
      <c r="H557" s="48"/>
    </row>
    <row r="558" spans="3:8" ht="15.75" customHeight="1" x14ac:dyDescent="0.2">
      <c r="C558" s="48"/>
      <c r="F558" s="48"/>
      <c r="H558" s="48"/>
    </row>
    <row r="559" spans="3:8" ht="15.75" customHeight="1" x14ac:dyDescent="0.2">
      <c r="C559" s="48"/>
      <c r="F559" s="48"/>
      <c r="H559" s="48"/>
    </row>
    <row r="560" spans="3:8" ht="15.75" customHeight="1" x14ac:dyDescent="0.2">
      <c r="C560" s="48"/>
      <c r="F560" s="48"/>
      <c r="H560" s="48"/>
    </row>
    <row r="561" spans="3:8" ht="15.75" customHeight="1" x14ac:dyDescent="0.2">
      <c r="C561" s="48"/>
      <c r="F561" s="48"/>
      <c r="H561" s="48"/>
    </row>
    <row r="562" spans="3:8" ht="15.75" customHeight="1" x14ac:dyDescent="0.2">
      <c r="C562" s="48"/>
      <c r="F562" s="48"/>
      <c r="H562" s="48"/>
    </row>
    <row r="563" spans="3:8" ht="15.75" customHeight="1" x14ac:dyDescent="0.2">
      <c r="C563" s="48"/>
      <c r="F563" s="48"/>
      <c r="H563" s="48"/>
    </row>
    <row r="564" spans="3:8" ht="15.75" customHeight="1" x14ac:dyDescent="0.2">
      <c r="C564" s="48"/>
      <c r="F564" s="48"/>
      <c r="H564" s="48"/>
    </row>
    <row r="565" spans="3:8" ht="15.75" customHeight="1" x14ac:dyDescent="0.2">
      <c r="C565" s="48"/>
      <c r="F565" s="48"/>
      <c r="H565" s="48"/>
    </row>
    <row r="566" spans="3:8" ht="15.75" customHeight="1" x14ac:dyDescent="0.2">
      <c r="C566" s="48"/>
      <c r="F566" s="48"/>
      <c r="H566" s="48"/>
    </row>
    <row r="567" spans="3:8" ht="15.75" customHeight="1" x14ac:dyDescent="0.2">
      <c r="C567" s="48"/>
      <c r="F567" s="48"/>
      <c r="H567" s="48"/>
    </row>
    <row r="568" spans="3:8" ht="15.75" customHeight="1" x14ac:dyDescent="0.2">
      <c r="C568" s="48"/>
      <c r="F568" s="48"/>
      <c r="H568" s="48"/>
    </row>
    <row r="569" spans="3:8" ht="15.75" customHeight="1" x14ac:dyDescent="0.2">
      <c r="C569" s="48"/>
      <c r="F569" s="48"/>
      <c r="H569" s="48"/>
    </row>
    <row r="570" spans="3:8" ht="15.75" customHeight="1" x14ac:dyDescent="0.2">
      <c r="C570" s="48"/>
      <c r="F570" s="48"/>
      <c r="H570" s="48"/>
    </row>
    <row r="571" spans="3:8" ht="15.75" customHeight="1" x14ac:dyDescent="0.2">
      <c r="C571" s="48"/>
      <c r="F571" s="48"/>
      <c r="H571" s="48"/>
    </row>
    <row r="572" spans="3:8" ht="15.75" customHeight="1" x14ac:dyDescent="0.2">
      <c r="C572" s="48"/>
      <c r="F572" s="48"/>
      <c r="H572" s="48"/>
    </row>
    <row r="573" spans="3:8" ht="15.75" customHeight="1" x14ac:dyDescent="0.2">
      <c r="C573" s="48"/>
      <c r="F573" s="48"/>
      <c r="H573" s="48"/>
    </row>
    <row r="574" spans="3:8" ht="15.75" customHeight="1" x14ac:dyDescent="0.2">
      <c r="C574" s="48"/>
      <c r="F574" s="48"/>
      <c r="H574" s="48"/>
    </row>
    <row r="575" spans="3:8" ht="15.75" customHeight="1" x14ac:dyDescent="0.2">
      <c r="C575" s="48"/>
      <c r="F575" s="48"/>
      <c r="H575" s="48"/>
    </row>
    <row r="576" spans="3:8" ht="15.75" customHeight="1" x14ac:dyDescent="0.2">
      <c r="C576" s="48"/>
      <c r="F576" s="48"/>
      <c r="H576" s="48"/>
    </row>
    <row r="577" spans="3:8" ht="15.75" customHeight="1" x14ac:dyDescent="0.2">
      <c r="C577" s="48"/>
      <c r="F577" s="48"/>
      <c r="H577" s="48"/>
    </row>
    <row r="578" spans="3:8" ht="15.75" customHeight="1" x14ac:dyDescent="0.2">
      <c r="C578" s="48"/>
      <c r="F578" s="48"/>
      <c r="H578" s="48"/>
    </row>
    <row r="579" spans="3:8" ht="15.75" customHeight="1" x14ac:dyDescent="0.2">
      <c r="C579" s="48"/>
      <c r="F579" s="48"/>
      <c r="H579" s="48"/>
    </row>
    <row r="580" spans="3:8" ht="15.75" customHeight="1" x14ac:dyDescent="0.2">
      <c r="C580" s="48"/>
      <c r="F580" s="48"/>
      <c r="H580" s="48"/>
    </row>
    <row r="581" spans="3:8" ht="15.75" customHeight="1" x14ac:dyDescent="0.2">
      <c r="C581" s="48"/>
      <c r="F581" s="48"/>
      <c r="H581" s="48"/>
    </row>
    <row r="582" spans="3:8" ht="15.75" customHeight="1" x14ac:dyDescent="0.2">
      <c r="C582" s="48"/>
      <c r="F582" s="48"/>
      <c r="H582" s="48"/>
    </row>
    <row r="583" spans="3:8" ht="15.75" customHeight="1" x14ac:dyDescent="0.2">
      <c r="C583" s="48"/>
      <c r="F583" s="48"/>
      <c r="H583" s="48"/>
    </row>
    <row r="584" spans="3:8" ht="15.75" customHeight="1" x14ac:dyDescent="0.2">
      <c r="C584" s="48"/>
      <c r="F584" s="48"/>
      <c r="H584" s="48"/>
    </row>
    <row r="585" spans="3:8" ht="15.75" customHeight="1" x14ac:dyDescent="0.2">
      <c r="C585" s="48"/>
      <c r="F585" s="48"/>
      <c r="H585" s="48"/>
    </row>
    <row r="586" spans="3:8" ht="15.75" customHeight="1" x14ac:dyDescent="0.2">
      <c r="C586" s="48"/>
      <c r="F586" s="48"/>
      <c r="H586" s="48"/>
    </row>
    <row r="587" spans="3:8" ht="15.75" customHeight="1" x14ac:dyDescent="0.2">
      <c r="C587" s="48"/>
      <c r="F587" s="48"/>
      <c r="H587" s="48"/>
    </row>
    <row r="588" spans="3:8" ht="15.75" customHeight="1" x14ac:dyDescent="0.2">
      <c r="C588" s="48"/>
      <c r="F588" s="48"/>
      <c r="H588" s="48"/>
    </row>
    <row r="589" spans="3:8" ht="15.75" customHeight="1" x14ac:dyDescent="0.2">
      <c r="C589" s="48"/>
      <c r="F589" s="48"/>
      <c r="H589" s="48"/>
    </row>
    <row r="590" spans="3:8" ht="15.75" customHeight="1" x14ac:dyDescent="0.2">
      <c r="C590" s="48"/>
      <c r="F590" s="48"/>
      <c r="H590" s="48"/>
    </row>
    <row r="591" spans="3:8" ht="15.75" customHeight="1" x14ac:dyDescent="0.2">
      <c r="C591" s="48"/>
      <c r="F591" s="48"/>
      <c r="H591" s="48"/>
    </row>
    <row r="592" spans="3:8" ht="15.75" customHeight="1" x14ac:dyDescent="0.2">
      <c r="C592" s="48"/>
      <c r="F592" s="48"/>
      <c r="H592" s="48"/>
    </row>
    <row r="593" spans="3:8" ht="15.75" customHeight="1" x14ac:dyDescent="0.2">
      <c r="C593" s="48"/>
      <c r="F593" s="48"/>
      <c r="H593" s="48"/>
    </row>
    <row r="594" spans="3:8" ht="15.75" customHeight="1" x14ac:dyDescent="0.2">
      <c r="C594" s="48"/>
      <c r="F594" s="48"/>
      <c r="H594" s="48"/>
    </row>
    <row r="595" spans="3:8" ht="15.75" customHeight="1" x14ac:dyDescent="0.2">
      <c r="C595" s="48"/>
      <c r="F595" s="48"/>
      <c r="H595" s="48"/>
    </row>
    <row r="596" spans="3:8" ht="15.75" customHeight="1" x14ac:dyDescent="0.2">
      <c r="C596" s="48"/>
      <c r="F596" s="48"/>
      <c r="H596" s="48"/>
    </row>
    <row r="597" spans="3:8" ht="15.75" customHeight="1" x14ac:dyDescent="0.2">
      <c r="C597" s="48"/>
      <c r="F597" s="48"/>
      <c r="H597" s="48"/>
    </row>
    <row r="598" spans="3:8" ht="15.75" customHeight="1" x14ac:dyDescent="0.2">
      <c r="C598" s="48"/>
      <c r="F598" s="48"/>
      <c r="H598" s="48"/>
    </row>
    <row r="599" spans="3:8" ht="15.75" customHeight="1" x14ac:dyDescent="0.2">
      <c r="C599" s="48"/>
      <c r="F599" s="48"/>
      <c r="H599" s="48"/>
    </row>
    <row r="600" spans="3:8" ht="15.75" customHeight="1" x14ac:dyDescent="0.2">
      <c r="C600" s="48"/>
      <c r="F600" s="48"/>
      <c r="H600" s="48"/>
    </row>
    <row r="601" spans="3:8" ht="15.75" customHeight="1" x14ac:dyDescent="0.2">
      <c r="C601" s="48"/>
      <c r="F601" s="48"/>
      <c r="H601" s="48"/>
    </row>
    <row r="602" spans="3:8" ht="15.75" customHeight="1" x14ac:dyDescent="0.2">
      <c r="C602" s="48"/>
      <c r="F602" s="48"/>
      <c r="H602" s="48"/>
    </row>
    <row r="603" spans="3:8" ht="15.75" customHeight="1" x14ac:dyDescent="0.2">
      <c r="C603" s="48"/>
      <c r="F603" s="48"/>
      <c r="H603" s="48"/>
    </row>
    <row r="604" spans="3:8" ht="15.75" customHeight="1" x14ac:dyDescent="0.2">
      <c r="C604" s="48"/>
      <c r="F604" s="48"/>
      <c r="H604" s="48"/>
    </row>
    <row r="605" spans="3:8" ht="15.75" customHeight="1" x14ac:dyDescent="0.2">
      <c r="C605" s="48"/>
      <c r="F605" s="48"/>
      <c r="H605" s="48"/>
    </row>
    <row r="606" spans="3:8" ht="15.75" customHeight="1" x14ac:dyDescent="0.2">
      <c r="C606" s="48"/>
      <c r="F606" s="48"/>
      <c r="H606" s="48"/>
    </row>
    <row r="607" spans="3:8" ht="15.75" customHeight="1" x14ac:dyDescent="0.2">
      <c r="C607" s="48"/>
      <c r="F607" s="48"/>
      <c r="H607" s="48"/>
    </row>
    <row r="608" spans="3:8" ht="15.75" customHeight="1" x14ac:dyDescent="0.2">
      <c r="C608" s="48"/>
      <c r="F608" s="48"/>
      <c r="H608" s="48"/>
    </row>
    <row r="609" spans="3:8" ht="15.75" customHeight="1" x14ac:dyDescent="0.2">
      <c r="C609" s="48"/>
      <c r="F609" s="48"/>
      <c r="H609" s="48"/>
    </row>
    <row r="610" spans="3:8" ht="15.75" customHeight="1" x14ac:dyDescent="0.2">
      <c r="C610" s="48"/>
      <c r="F610" s="48"/>
      <c r="H610" s="48"/>
    </row>
    <row r="611" spans="3:8" ht="15.75" customHeight="1" x14ac:dyDescent="0.2">
      <c r="C611" s="48"/>
      <c r="F611" s="48"/>
      <c r="H611" s="48"/>
    </row>
    <row r="612" spans="3:8" ht="15.75" customHeight="1" x14ac:dyDescent="0.2">
      <c r="C612" s="48"/>
      <c r="F612" s="48"/>
      <c r="H612" s="48"/>
    </row>
    <row r="613" spans="3:8" ht="15.75" customHeight="1" x14ac:dyDescent="0.2">
      <c r="C613" s="48"/>
      <c r="F613" s="48"/>
      <c r="H613" s="48"/>
    </row>
    <row r="614" spans="3:8" ht="15.75" customHeight="1" x14ac:dyDescent="0.2">
      <c r="C614" s="48"/>
      <c r="F614" s="48"/>
      <c r="H614" s="48"/>
    </row>
    <row r="615" spans="3:8" ht="15.75" customHeight="1" x14ac:dyDescent="0.2">
      <c r="C615" s="48"/>
      <c r="F615" s="48"/>
      <c r="H615" s="48"/>
    </row>
    <row r="616" spans="3:8" ht="15.75" customHeight="1" x14ac:dyDescent="0.2">
      <c r="C616" s="48"/>
      <c r="F616" s="48"/>
      <c r="H616" s="48"/>
    </row>
    <row r="617" spans="3:8" ht="15.75" customHeight="1" x14ac:dyDescent="0.2">
      <c r="C617" s="48"/>
      <c r="F617" s="48"/>
      <c r="H617" s="48"/>
    </row>
    <row r="618" spans="3:8" ht="15.75" customHeight="1" x14ac:dyDescent="0.2">
      <c r="C618" s="48"/>
      <c r="F618" s="48"/>
      <c r="H618" s="48"/>
    </row>
    <row r="619" spans="3:8" ht="15.75" customHeight="1" x14ac:dyDescent="0.2">
      <c r="C619" s="48"/>
      <c r="F619" s="48"/>
      <c r="H619" s="48"/>
    </row>
    <row r="620" spans="3:8" ht="15.75" customHeight="1" x14ac:dyDescent="0.2">
      <c r="C620" s="48"/>
      <c r="F620" s="48"/>
      <c r="H620" s="48"/>
    </row>
    <row r="621" spans="3:8" ht="15.75" customHeight="1" x14ac:dyDescent="0.2">
      <c r="C621" s="48"/>
      <c r="F621" s="48"/>
      <c r="H621" s="48"/>
    </row>
    <row r="622" spans="3:8" ht="15.75" customHeight="1" x14ac:dyDescent="0.2">
      <c r="C622" s="48"/>
      <c r="F622" s="48"/>
      <c r="H622" s="48"/>
    </row>
    <row r="623" spans="3:8" ht="15.75" customHeight="1" x14ac:dyDescent="0.2">
      <c r="C623" s="48"/>
      <c r="F623" s="48"/>
      <c r="H623" s="48"/>
    </row>
    <row r="624" spans="3:8" ht="15.75" customHeight="1" x14ac:dyDescent="0.2">
      <c r="C624" s="48"/>
      <c r="F624" s="48"/>
      <c r="H624" s="48"/>
    </row>
    <row r="625" spans="3:8" ht="15.75" customHeight="1" x14ac:dyDescent="0.2">
      <c r="C625" s="48"/>
      <c r="F625" s="48"/>
      <c r="H625" s="48"/>
    </row>
    <row r="626" spans="3:8" ht="15.75" customHeight="1" x14ac:dyDescent="0.2">
      <c r="C626" s="48"/>
      <c r="F626" s="48"/>
      <c r="H626" s="48"/>
    </row>
    <row r="627" spans="3:8" ht="15.75" customHeight="1" x14ac:dyDescent="0.2">
      <c r="C627" s="48"/>
      <c r="F627" s="48"/>
      <c r="H627" s="48"/>
    </row>
    <row r="628" spans="3:8" ht="15.75" customHeight="1" x14ac:dyDescent="0.2">
      <c r="C628" s="48"/>
      <c r="F628" s="48"/>
      <c r="H628" s="48"/>
    </row>
    <row r="629" spans="3:8" ht="15.75" customHeight="1" x14ac:dyDescent="0.2">
      <c r="C629" s="48"/>
      <c r="F629" s="48"/>
      <c r="H629" s="48"/>
    </row>
    <row r="630" spans="3:8" ht="15.75" customHeight="1" x14ac:dyDescent="0.2">
      <c r="C630" s="48"/>
      <c r="F630" s="48"/>
      <c r="H630" s="48"/>
    </row>
    <row r="631" spans="3:8" ht="15.75" customHeight="1" x14ac:dyDescent="0.2">
      <c r="C631" s="48"/>
      <c r="F631" s="48"/>
      <c r="H631" s="48"/>
    </row>
    <row r="632" spans="3:8" ht="15.75" customHeight="1" x14ac:dyDescent="0.2">
      <c r="C632" s="48"/>
      <c r="F632" s="48"/>
      <c r="H632" s="48"/>
    </row>
    <row r="633" spans="3:8" ht="15.75" customHeight="1" x14ac:dyDescent="0.2">
      <c r="C633" s="48"/>
      <c r="F633" s="48"/>
      <c r="H633" s="48"/>
    </row>
    <row r="634" spans="3:8" ht="15.75" customHeight="1" x14ac:dyDescent="0.2">
      <c r="C634" s="48"/>
      <c r="F634" s="48"/>
      <c r="H634" s="48"/>
    </row>
    <row r="635" spans="3:8" ht="15.75" customHeight="1" x14ac:dyDescent="0.2">
      <c r="C635" s="48"/>
      <c r="F635" s="48"/>
      <c r="H635" s="48"/>
    </row>
    <row r="636" spans="3:8" ht="15.75" customHeight="1" x14ac:dyDescent="0.2">
      <c r="C636" s="48"/>
      <c r="F636" s="48"/>
      <c r="H636" s="48"/>
    </row>
    <row r="637" spans="3:8" ht="15.75" customHeight="1" x14ac:dyDescent="0.2">
      <c r="C637" s="48"/>
      <c r="F637" s="48"/>
      <c r="H637" s="48"/>
    </row>
    <row r="638" spans="3:8" ht="15.75" customHeight="1" x14ac:dyDescent="0.2">
      <c r="C638" s="48"/>
      <c r="F638" s="48"/>
      <c r="H638" s="48"/>
    </row>
    <row r="639" spans="3:8" ht="15.75" customHeight="1" x14ac:dyDescent="0.2">
      <c r="C639" s="48"/>
      <c r="F639" s="48"/>
      <c r="H639" s="48"/>
    </row>
    <row r="640" spans="3:8" ht="15.75" customHeight="1" x14ac:dyDescent="0.2">
      <c r="C640" s="48"/>
      <c r="F640" s="48"/>
      <c r="H640" s="48"/>
    </row>
    <row r="641" spans="3:8" ht="15.75" customHeight="1" x14ac:dyDescent="0.2">
      <c r="C641" s="48"/>
      <c r="F641" s="48"/>
      <c r="H641" s="48"/>
    </row>
    <row r="642" spans="3:8" ht="15.75" customHeight="1" x14ac:dyDescent="0.2">
      <c r="C642" s="48"/>
      <c r="F642" s="48"/>
      <c r="H642" s="48"/>
    </row>
    <row r="643" spans="3:8" ht="15.75" customHeight="1" x14ac:dyDescent="0.2">
      <c r="C643" s="48"/>
      <c r="F643" s="48"/>
      <c r="H643" s="48"/>
    </row>
    <row r="644" spans="3:8" ht="15.75" customHeight="1" x14ac:dyDescent="0.2">
      <c r="C644" s="48"/>
      <c r="F644" s="48"/>
      <c r="H644" s="48"/>
    </row>
    <row r="645" spans="3:8" ht="15.75" customHeight="1" x14ac:dyDescent="0.2">
      <c r="C645" s="48"/>
      <c r="F645" s="48"/>
      <c r="H645" s="48"/>
    </row>
    <row r="646" spans="3:8" ht="15.75" customHeight="1" x14ac:dyDescent="0.2">
      <c r="C646" s="48"/>
      <c r="F646" s="48"/>
      <c r="H646" s="48"/>
    </row>
    <row r="647" spans="3:8" ht="15.75" customHeight="1" x14ac:dyDescent="0.2">
      <c r="C647" s="48"/>
      <c r="F647" s="48"/>
      <c r="H647" s="48"/>
    </row>
    <row r="648" spans="3:8" ht="15.75" customHeight="1" x14ac:dyDescent="0.2">
      <c r="C648" s="48"/>
      <c r="F648" s="48"/>
      <c r="H648" s="48"/>
    </row>
    <row r="649" spans="3:8" ht="15.75" customHeight="1" x14ac:dyDescent="0.2">
      <c r="C649" s="48"/>
      <c r="F649" s="48"/>
      <c r="H649" s="48"/>
    </row>
    <row r="650" spans="3:8" ht="15.75" customHeight="1" x14ac:dyDescent="0.2">
      <c r="C650" s="48"/>
      <c r="F650" s="48"/>
      <c r="H650" s="48"/>
    </row>
    <row r="651" spans="3:8" ht="15.75" customHeight="1" x14ac:dyDescent="0.2">
      <c r="C651" s="48"/>
      <c r="F651" s="48"/>
      <c r="H651" s="48"/>
    </row>
    <row r="652" spans="3:8" ht="15.75" customHeight="1" x14ac:dyDescent="0.2">
      <c r="C652" s="48"/>
      <c r="F652" s="48"/>
      <c r="H652" s="48"/>
    </row>
    <row r="653" spans="3:8" ht="15.75" customHeight="1" x14ac:dyDescent="0.2">
      <c r="C653" s="48"/>
      <c r="F653" s="48"/>
      <c r="H653" s="48"/>
    </row>
    <row r="654" spans="3:8" ht="15.75" customHeight="1" x14ac:dyDescent="0.2">
      <c r="C654" s="48"/>
      <c r="F654" s="48"/>
      <c r="H654" s="48"/>
    </row>
    <row r="655" spans="3:8" ht="15.75" customHeight="1" x14ac:dyDescent="0.2">
      <c r="C655" s="48"/>
      <c r="F655" s="48"/>
      <c r="H655" s="48"/>
    </row>
    <row r="656" spans="3:8" ht="15.75" customHeight="1" x14ac:dyDescent="0.2">
      <c r="C656" s="48"/>
      <c r="F656" s="48"/>
      <c r="H656" s="48"/>
    </row>
    <row r="657" spans="3:8" ht="15.75" customHeight="1" x14ac:dyDescent="0.2">
      <c r="C657" s="48"/>
      <c r="F657" s="48"/>
      <c r="H657" s="48"/>
    </row>
    <row r="658" spans="3:8" ht="15.75" customHeight="1" x14ac:dyDescent="0.2">
      <c r="C658" s="48"/>
      <c r="F658" s="48"/>
      <c r="H658" s="48"/>
    </row>
    <row r="659" spans="3:8" ht="15.75" customHeight="1" x14ac:dyDescent="0.2">
      <c r="C659" s="48"/>
      <c r="F659" s="48"/>
      <c r="H659" s="48"/>
    </row>
    <row r="660" spans="3:8" ht="15.75" customHeight="1" x14ac:dyDescent="0.2">
      <c r="C660" s="48"/>
      <c r="F660" s="48"/>
      <c r="H660" s="48"/>
    </row>
    <row r="661" spans="3:8" ht="15.75" customHeight="1" x14ac:dyDescent="0.2">
      <c r="C661" s="48"/>
      <c r="F661" s="48"/>
      <c r="H661" s="48"/>
    </row>
    <row r="662" spans="3:8" ht="15.75" customHeight="1" x14ac:dyDescent="0.2">
      <c r="C662" s="48"/>
      <c r="F662" s="48"/>
      <c r="H662" s="48"/>
    </row>
    <row r="663" spans="3:8" ht="15.75" customHeight="1" x14ac:dyDescent="0.2">
      <c r="C663" s="48"/>
      <c r="F663" s="48"/>
      <c r="H663" s="48"/>
    </row>
    <row r="664" spans="3:8" ht="15.75" customHeight="1" x14ac:dyDescent="0.2">
      <c r="C664" s="48"/>
      <c r="F664" s="48"/>
      <c r="H664" s="48"/>
    </row>
    <row r="665" spans="3:8" ht="15.75" customHeight="1" x14ac:dyDescent="0.2">
      <c r="C665" s="48"/>
      <c r="F665" s="48"/>
      <c r="H665" s="48"/>
    </row>
    <row r="666" spans="3:8" ht="15.75" customHeight="1" x14ac:dyDescent="0.2">
      <c r="C666" s="48"/>
      <c r="F666" s="48"/>
      <c r="H666" s="48"/>
    </row>
    <row r="667" spans="3:8" ht="15.75" customHeight="1" x14ac:dyDescent="0.2">
      <c r="C667" s="48"/>
      <c r="F667" s="48"/>
      <c r="H667" s="48"/>
    </row>
    <row r="668" spans="3:8" ht="15.75" customHeight="1" x14ac:dyDescent="0.2">
      <c r="C668" s="48"/>
      <c r="F668" s="48"/>
      <c r="H668" s="48"/>
    </row>
    <row r="669" spans="3:8" ht="15.75" customHeight="1" x14ac:dyDescent="0.2">
      <c r="C669" s="48"/>
      <c r="F669" s="48"/>
      <c r="H669" s="48"/>
    </row>
    <row r="670" spans="3:8" ht="15.75" customHeight="1" x14ac:dyDescent="0.2">
      <c r="C670" s="48"/>
      <c r="F670" s="48"/>
      <c r="H670" s="48"/>
    </row>
    <row r="671" spans="3:8" ht="15.75" customHeight="1" x14ac:dyDescent="0.2">
      <c r="C671" s="48"/>
      <c r="F671" s="48"/>
      <c r="H671" s="48"/>
    </row>
    <row r="672" spans="3:8" ht="15.75" customHeight="1" x14ac:dyDescent="0.2">
      <c r="C672" s="48"/>
      <c r="F672" s="48"/>
      <c r="H672" s="48"/>
    </row>
    <row r="673" spans="3:8" ht="15.75" customHeight="1" x14ac:dyDescent="0.2">
      <c r="C673" s="48"/>
      <c r="F673" s="48"/>
      <c r="H673" s="48"/>
    </row>
    <row r="674" spans="3:8" ht="15.75" customHeight="1" x14ac:dyDescent="0.2">
      <c r="C674" s="48"/>
      <c r="F674" s="48"/>
      <c r="H674" s="48"/>
    </row>
    <row r="675" spans="3:8" ht="15.75" customHeight="1" x14ac:dyDescent="0.2">
      <c r="C675" s="48"/>
      <c r="F675" s="48"/>
      <c r="H675" s="48"/>
    </row>
    <row r="676" spans="3:8" ht="15.75" customHeight="1" x14ac:dyDescent="0.2">
      <c r="C676" s="48"/>
      <c r="F676" s="48"/>
      <c r="H676" s="48"/>
    </row>
    <row r="677" spans="3:8" ht="15.75" customHeight="1" x14ac:dyDescent="0.2">
      <c r="C677" s="48"/>
      <c r="F677" s="48"/>
      <c r="H677" s="48"/>
    </row>
    <row r="678" spans="3:8" ht="15.75" customHeight="1" x14ac:dyDescent="0.2">
      <c r="C678" s="48"/>
      <c r="F678" s="48"/>
      <c r="H678" s="48"/>
    </row>
    <row r="679" spans="3:8" ht="15.75" customHeight="1" x14ac:dyDescent="0.2">
      <c r="C679" s="48"/>
      <c r="F679" s="48"/>
      <c r="H679" s="48"/>
    </row>
    <row r="680" spans="3:8" ht="15.75" customHeight="1" x14ac:dyDescent="0.2">
      <c r="C680" s="48"/>
      <c r="F680" s="48"/>
      <c r="H680" s="48"/>
    </row>
    <row r="681" spans="3:8" ht="15.75" customHeight="1" x14ac:dyDescent="0.2">
      <c r="C681" s="48"/>
      <c r="F681" s="48"/>
      <c r="H681" s="48"/>
    </row>
    <row r="682" spans="3:8" ht="15.75" customHeight="1" x14ac:dyDescent="0.2">
      <c r="C682" s="48"/>
      <c r="F682" s="48"/>
      <c r="H682" s="48"/>
    </row>
    <row r="683" spans="3:8" ht="15.75" customHeight="1" x14ac:dyDescent="0.2">
      <c r="C683" s="48"/>
      <c r="F683" s="48"/>
      <c r="H683" s="48"/>
    </row>
    <row r="684" spans="3:8" ht="15.75" customHeight="1" x14ac:dyDescent="0.2">
      <c r="C684" s="48"/>
      <c r="F684" s="48"/>
      <c r="H684" s="48"/>
    </row>
    <row r="685" spans="3:8" ht="15.75" customHeight="1" x14ac:dyDescent="0.2">
      <c r="C685" s="48"/>
      <c r="F685" s="48"/>
      <c r="H685" s="48"/>
    </row>
    <row r="686" spans="3:8" ht="15.75" customHeight="1" x14ac:dyDescent="0.2">
      <c r="C686" s="48"/>
      <c r="F686" s="48"/>
      <c r="H686" s="48"/>
    </row>
    <row r="687" spans="3:8" ht="15.75" customHeight="1" x14ac:dyDescent="0.2">
      <c r="C687" s="48"/>
      <c r="F687" s="48"/>
      <c r="H687" s="48"/>
    </row>
    <row r="688" spans="3:8" ht="15.75" customHeight="1" x14ac:dyDescent="0.2">
      <c r="C688" s="48"/>
      <c r="F688" s="48"/>
      <c r="H688" s="48"/>
    </row>
    <row r="689" spans="3:8" ht="15.75" customHeight="1" x14ac:dyDescent="0.2">
      <c r="C689" s="48"/>
      <c r="F689" s="48"/>
      <c r="H689" s="48"/>
    </row>
    <row r="690" spans="3:8" ht="15.75" customHeight="1" x14ac:dyDescent="0.2">
      <c r="C690" s="48"/>
      <c r="F690" s="48"/>
      <c r="H690" s="48"/>
    </row>
    <row r="691" spans="3:8" ht="15.75" customHeight="1" x14ac:dyDescent="0.2">
      <c r="C691" s="48"/>
      <c r="F691" s="48"/>
      <c r="H691" s="48"/>
    </row>
    <row r="692" spans="3:8" ht="15.75" customHeight="1" x14ac:dyDescent="0.2">
      <c r="C692" s="48"/>
      <c r="F692" s="48"/>
      <c r="H692" s="48"/>
    </row>
    <row r="693" spans="3:8" ht="15.75" customHeight="1" x14ac:dyDescent="0.2">
      <c r="C693" s="48"/>
      <c r="F693" s="48"/>
      <c r="H693" s="48"/>
    </row>
    <row r="694" spans="3:8" ht="15.75" customHeight="1" x14ac:dyDescent="0.2">
      <c r="C694" s="48"/>
      <c r="F694" s="48"/>
      <c r="H694" s="48"/>
    </row>
    <row r="695" spans="3:8" ht="15.75" customHeight="1" x14ac:dyDescent="0.2">
      <c r="C695" s="48"/>
      <c r="F695" s="48"/>
      <c r="H695" s="48"/>
    </row>
    <row r="696" spans="3:8" ht="15.75" customHeight="1" x14ac:dyDescent="0.2">
      <c r="C696" s="48"/>
      <c r="F696" s="48"/>
      <c r="H696" s="48"/>
    </row>
    <row r="697" spans="3:8" ht="15.75" customHeight="1" x14ac:dyDescent="0.2">
      <c r="C697" s="48"/>
      <c r="F697" s="48"/>
      <c r="H697" s="48"/>
    </row>
    <row r="698" spans="3:8" ht="15.75" customHeight="1" x14ac:dyDescent="0.2">
      <c r="C698" s="48"/>
      <c r="F698" s="48"/>
      <c r="H698" s="48"/>
    </row>
    <row r="699" spans="3:8" ht="15.75" customHeight="1" x14ac:dyDescent="0.2">
      <c r="C699" s="48"/>
      <c r="F699" s="48"/>
      <c r="H699" s="48"/>
    </row>
    <row r="700" spans="3:8" ht="15.75" customHeight="1" x14ac:dyDescent="0.2">
      <c r="C700" s="48"/>
      <c r="F700" s="48"/>
      <c r="H700" s="48"/>
    </row>
    <row r="701" spans="3:8" ht="15.75" customHeight="1" x14ac:dyDescent="0.2">
      <c r="C701" s="48"/>
      <c r="F701" s="48"/>
      <c r="H701" s="48"/>
    </row>
    <row r="702" spans="3:8" ht="15.75" customHeight="1" x14ac:dyDescent="0.2">
      <c r="C702" s="48"/>
      <c r="F702" s="48"/>
      <c r="H702" s="48"/>
    </row>
    <row r="703" spans="3:8" ht="15.75" customHeight="1" x14ac:dyDescent="0.2">
      <c r="C703" s="48"/>
      <c r="F703" s="48"/>
      <c r="H703" s="48"/>
    </row>
    <row r="704" spans="3:8" ht="15.75" customHeight="1" x14ac:dyDescent="0.2">
      <c r="C704" s="48"/>
      <c r="F704" s="48"/>
      <c r="H704" s="48"/>
    </row>
    <row r="705" spans="3:8" ht="15.75" customHeight="1" x14ac:dyDescent="0.2">
      <c r="C705" s="48"/>
      <c r="F705" s="48"/>
      <c r="H705" s="48"/>
    </row>
    <row r="706" spans="3:8" ht="15.75" customHeight="1" x14ac:dyDescent="0.2">
      <c r="C706" s="48"/>
      <c r="F706" s="48"/>
      <c r="H706" s="48"/>
    </row>
    <row r="707" spans="3:8" ht="15.75" customHeight="1" x14ac:dyDescent="0.2">
      <c r="C707" s="48"/>
      <c r="F707" s="48"/>
      <c r="H707" s="48"/>
    </row>
    <row r="708" spans="3:8" ht="15.75" customHeight="1" x14ac:dyDescent="0.2">
      <c r="C708" s="48"/>
      <c r="F708" s="48"/>
      <c r="H708" s="48"/>
    </row>
    <row r="709" spans="3:8" ht="15.75" customHeight="1" x14ac:dyDescent="0.2">
      <c r="C709" s="48"/>
      <c r="F709" s="48"/>
      <c r="H709" s="48"/>
    </row>
    <row r="710" spans="3:8" ht="15.75" customHeight="1" x14ac:dyDescent="0.2">
      <c r="C710" s="48"/>
      <c r="F710" s="48"/>
      <c r="H710" s="48"/>
    </row>
    <row r="711" spans="3:8" ht="15.75" customHeight="1" x14ac:dyDescent="0.2">
      <c r="C711" s="48"/>
      <c r="F711" s="48"/>
      <c r="H711" s="48"/>
    </row>
    <row r="712" spans="3:8" ht="15.75" customHeight="1" x14ac:dyDescent="0.2">
      <c r="C712" s="48"/>
      <c r="F712" s="48"/>
      <c r="H712" s="48"/>
    </row>
    <row r="713" spans="3:8" ht="15.75" customHeight="1" x14ac:dyDescent="0.2">
      <c r="C713" s="48"/>
      <c r="F713" s="48"/>
      <c r="H713" s="48"/>
    </row>
    <row r="714" spans="3:8" ht="15.75" customHeight="1" x14ac:dyDescent="0.2">
      <c r="C714" s="48"/>
      <c r="F714" s="48"/>
      <c r="H714" s="48"/>
    </row>
    <row r="715" spans="3:8" ht="15.75" customHeight="1" x14ac:dyDescent="0.2">
      <c r="C715" s="48"/>
      <c r="F715" s="48"/>
      <c r="H715" s="48"/>
    </row>
    <row r="716" spans="3:8" ht="15.75" customHeight="1" x14ac:dyDescent="0.2">
      <c r="C716" s="48"/>
      <c r="F716" s="48"/>
      <c r="H716" s="48"/>
    </row>
    <row r="717" spans="3:8" ht="15.75" customHeight="1" x14ac:dyDescent="0.2">
      <c r="C717" s="48"/>
      <c r="F717" s="48"/>
      <c r="H717" s="48"/>
    </row>
    <row r="718" spans="3:8" ht="15.75" customHeight="1" x14ac:dyDescent="0.2">
      <c r="C718" s="48"/>
      <c r="F718" s="48"/>
      <c r="H718" s="48"/>
    </row>
    <row r="719" spans="3:8" ht="15.75" customHeight="1" x14ac:dyDescent="0.2">
      <c r="C719" s="48"/>
      <c r="F719" s="48"/>
      <c r="H719" s="48"/>
    </row>
    <row r="720" spans="3:8" ht="15.75" customHeight="1" x14ac:dyDescent="0.2">
      <c r="C720" s="48"/>
      <c r="F720" s="48"/>
      <c r="H720" s="48"/>
    </row>
    <row r="721" spans="3:8" ht="15.75" customHeight="1" x14ac:dyDescent="0.2">
      <c r="C721" s="48"/>
      <c r="F721" s="48"/>
      <c r="H721" s="48"/>
    </row>
    <row r="722" spans="3:8" ht="15.75" customHeight="1" x14ac:dyDescent="0.2">
      <c r="C722" s="48"/>
      <c r="F722" s="48"/>
      <c r="H722" s="48"/>
    </row>
    <row r="723" spans="3:8" ht="15.75" customHeight="1" x14ac:dyDescent="0.2">
      <c r="C723" s="48"/>
      <c r="F723" s="48"/>
      <c r="H723" s="48"/>
    </row>
    <row r="724" spans="3:8" ht="15.75" customHeight="1" x14ac:dyDescent="0.2">
      <c r="C724" s="48"/>
      <c r="F724" s="48"/>
      <c r="H724" s="48"/>
    </row>
    <row r="725" spans="3:8" ht="15.75" customHeight="1" x14ac:dyDescent="0.2">
      <c r="C725" s="48"/>
      <c r="F725" s="48"/>
      <c r="H725" s="48"/>
    </row>
    <row r="726" spans="3:8" ht="15.75" customHeight="1" x14ac:dyDescent="0.2">
      <c r="C726" s="48"/>
      <c r="F726" s="48"/>
      <c r="H726" s="48"/>
    </row>
    <row r="727" spans="3:8" ht="15.75" customHeight="1" x14ac:dyDescent="0.2">
      <c r="C727" s="48"/>
      <c r="F727" s="48"/>
      <c r="H727" s="48"/>
    </row>
    <row r="728" spans="3:8" ht="15.75" customHeight="1" x14ac:dyDescent="0.2">
      <c r="C728" s="48"/>
      <c r="F728" s="48"/>
      <c r="H728" s="48"/>
    </row>
    <row r="729" spans="3:8" ht="15.75" customHeight="1" x14ac:dyDescent="0.2">
      <c r="C729" s="48"/>
      <c r="F729" s="48"/>
      <c r="H729" s="48"/>
    </row>
    <row r="730" spans="3:8" ht="15.75" customHeight="1" x14ac:dyDescent="0.2">
      <c r="C730" s="48"/>
      <c r="F730" s="48"/>
      <c r="H730" s="48"/>
    </row>
    <row r="731" spans="3:8" ht="15.75" customHeight="1" x14ac:dyDescent="0.2">
      <c r="C731" s="48"/>
      <c r="F731" s="48"/>
      <c r="H731" s="48"/>
    </row>
    <row r="732" spans="3:8" ht="15.75" customHeight="1" x14ac:dyDescent="0.2">
      <c r="C732" s="48"/>
      <c r="F732" s="48"/>
      <c r="H732" s="48"/>
    </row>
    <row r="733" spans="3:8" ht="15.75" customHeight="1" x14ac:dyDescent="0.2">
      <c r="C733" s="48"/>
      <c r="F733" s="48"/>
      <c r="H733" s="48"/>
    </row>
    <row r="734" spans="3:8" ht="15.75" customHeight="1" x14ac:dyDescent="0.2">
      <c r="C734" s="48"/>
      <c r="F734" s="48"/>
      <c r="H734" s="48"/>
    </row>
    <row r="735" spans="3:8" ht="15.75" customHeight="1" x14ac:dyDescent="0.2">
      <c r="C735" s="48"/>
      <c r="F735" s="48"/>
      <c r="H735" s="48"/>
    </row>
    <row r="736" spans="3:8" ht="15.75" customHeight="1" x14ac:dyDescent="0.2">
      <c r="C736" s="48"/>
      <c r="F736" s="48"/>
      <c r="H736" s="48"/>
    </row>
    <row r="737" spans="3:8" ht="15.75" customHeight="1" x14ac:dyDescent="0.2">
      <c r="C737" s="48"/>
      <c r="F737" s="48"/>
      <c r="H737" s="48"/>
    </row>
    <row r="738" spans="3:8" ht="15.75" customHeight="1" x14ac:dyDescent="0.2">
      <c r="C738" s="48"/>
      <c r="F738" s="48"/>
      <c r="H738" s="48"/>
    </row>
    <row r="739" spans="3:8" ht="15.75" customHeight="1" x14ac:dyDescent="0.2">
      <c r="C739" s="48"/>
      <c r="F739" s="48"/>
      <c r="H739" s="48"/>
    </row>
    <row r="740" spans="3:8" ht="15.75" customHeight="1" x14ac:dyDescent="0.2">
      <c r="C740" s="48"/>
      <c r="F740" s="48"/>
      <c r="H740" s="48"/>
    </row>
    <row r="741" spans="3:8" ht="15.75" customHeight="1" x14ac:dyDescent="0.2">
      <c r="C741" s="48"/>
      <c r="F741" s="48"/>
      <c r="H741" s="48"/>
    </row>
    <row r="742" spans="3:8" ht="15.75" customHeight="1" x14ac:dyDescent="0.2">
      <c r="C742" s="48"/>
      <c r="F742" s="48"/>
      <c r="H742" s="48"/>
    </row>
    <row r="743" spans="3:8" ht="15.75" customHeight="1" x14ac:dyDescent="0.2">
      <c r="C743" s="48"/>
      <c r="F743" s="48"/>
      <c r="H743" s="48"/>
    </row>
    <row r="744" spans="3:8" ht="15.75" customHeight="1" x14ac:dyDescent="0.2">
      <c r="C744" s="48"/>
      <c r="F744" s="48"/>
      <c r="H744" s="48"/>
    </row>
    <row r="745" spans="3:8" ht="15.75" customHeight="1" x14ac:dyDescent="0.2">
      <c r="C745" s="48"/>
      <c r="F745" s="48"/>
      <c r="H745" s="48"/>
    </row>
    <row r="746" spans="3:8" ht="15.75" customHeight="1" x14ac:dyDescent="0.2">
      <c r="C746" s="48"/>
      <c r="F746" s="48"/>
      <c r="H746" s="48"/>
    </row>
    <row r="747" spans="3:8" ht="15.75" customHeight="1" x14ac:dyDescent="0.2">
      <c r="C747" s="48"/>
      <c r="F747" s="48"/>
      <c r="H747" s="48"/>
    </row>
    <row r="748" spans="3:8" ht="15.75" customHeight="1" x14ac:dyDescent="0.2">
      <c r="C748" s="48"/>
      <c r="F748" s="48"/>
      <c r="H748" s="48"/>
    </row>
    <row r="749" spans="3:8" ht="15.75" customHeight="1" x14ac:dyDescent="0.2">
      <c r="C749" s="48"/>
      <c r="F749" s="48"/>
      <c r="H749" s="48"/>
    </row>
    <row r="750" spans="3:8" ht="15.75" customHeight="1" x14ac:dyDescent="0.2">
      <c r="C750" s="48"/>
      <c r="F750" s="48"/>
      <c r="H750" s="48"/>
    </row>
    <row r="751" spans="3:8" ht="15.75" customHeight="1" x14ac:dyDescent="0.2">
      <c r="C751" s="48"/>
      <c r="F751" s="48"/>
      <c r="H751" s="48"/>
    </row>
    <row r="752" spans="3:8" ht="15.75" customHeight="1" x14ac:dyDescent="0.2">
      <c r="C752" s="48"/>
      <c r="F752" s="48"/>
      <c r="H752" s="48"/>
    </row>
    <row r="753" spans="3:8" ht="15.75" customHeight="1" x14ac:dyDescent="0.2">
      <c r="C753" s="48"/>
      <c r="F753" s="48"/>
      <c r="H753" s="48"/>
    </row>
    <row r="754" spans="3:8" ht="15.75" customHeight="1" x14ac:dyDescent="0.2">
      <c r="C754" s="48"/>
      <c r="F754" s="48"/>
      <c r="H754" s="48"/>
    </row>
    <row r="755" spans="3:8" ht="15.75" customHeight="1" x14ac:dyDescent="0.2">
      <c r="C755" s="48"/>
      <c r="F755" s="48"/>
      <c r="H755" s="48"/>
    </row>
    <row r="756" spans="3:8" ht="15.75" customHeight="1" x14ac:dyDescent="0.2">
      <c r="C756" s="48"/>
      <c r="F756" s="48"/>
      <c r="H756" s="48"/>
    </row>
    <row r="757" spans="3:8" ht="15.75" customHeight="1" x14ac:dyDescent="0.2">
      <c r="C757" s="48"/>
      <c r="F757" s="48"/>
      <c r="H757" s="48"/>
    </row>
    <row r="758" spans="3:8" ht="15.75" customHeight="1" x14ac:dyDescent="0.2">
      <c r="C758" s="48"/>
      <c r="F758" s="48"/>
      <c r="H758" s="48"/>
    </row>
    <row r="759" spans="3:8" ht="15.75" customHeight="1" x14ac:dyDescent="0.2">
      <c r="C759" s="48"/>
      <c r="F759" s="48"/>
      <c r="H759" s="48"/>
    </row>
    <row r="760" spans="3:8" ht="15.75" customHeight="1" x14ac:dyDescent="0.2">
      <c r="C760" s="48"/>
      <c r="F760" s="48"/>
      <c r="H760" s="48"/>
    </row>
    <row r="761" spans="3:8" ht="15.75" customHeight="1" x14ac:dyDescent="0.2">
      <c r="C761" s="48"/>
      <c r="F761" s="48"/>
      <c r="H761" s="48"/>
    </row>
    <row r="762" spans="3:8" ht="15.75" customHeight="1" x14ac:dyDescent="0.2">
      <c r="C762" s="48"/>
      <c r="F762" s="48"/>
      <c r="H762" s="48"/>
    </row>
    <row r="763" spans="3:8" ht="15.75" customHeight="1" x14ac:dyDescent="0.2">
      <c r="C763" s="48"/>
      <c r="F763" s="48"/>
      <c r="H763" s="48"/>
    </row>
    <row r="764" spans="3:8" ht="15.75" customHeight="1" x14ac:dyDescent="0.2">
      <c r="C764" s="48"/>
      <c r="F764" s="48"/>
      <c r="H764" s="48"/>
    </row>
    <row r="765" spans="3:8" ht="15.75" customHeight="1" x14ac:dyDescent="0.2">
      <c r="C765" s="48"/>
      <c r="F765" s="48"/>
      <c r="H765" s="48"/>
    </row>
    <row r="766" spans="3:8" ht="15.75" customHeight="1" x14ac:dyDescent="0.2">
      <c r="C766" s="48"/>
      <c r="F766" s="48"/>
      <c r="H766" s="48"/>
    </row>
    <row r="767" spans="3:8" ht="15.75" customHeight="1" x14ac:dyDescent="0.2">
      <c r="C767" s="48"/>
      <c r="F767" s="48"/>
      <c r="H767" s="48"/>
    </row>
    <row r="768" spans="3:8" ht="15.75" customHeight="1" x14ac:dyDescent="0.2">
      <c r="C768" s="48"/>
      <c r="F768" s="48"/>
      <c r="H768" s="48"/>
    </row>
    <row r="769" spans="3:8" ht="15.75" customHeight="1" x14ac:dyDescent="0.2">
      <c r="C769" s="48"/>
      <c r="F769" s="48"/>
      <c r="H769" s="48"/>
    </row>
    <row r="770" spans="3:8" ht="15.75" customHeight="1" x14ac:dyDescent="0.2">
      <c r="C770" s="48"/>
      <c r="F770" s="48"/>
      <c r="H770" s="48"/>
    </row>
    <row r="771" spans="3:8" ht="15.75" customHeight="1" x14ac:dyDescent="0.2">
      <c r="C771" s="48"/>
      <c r="F771" s="48"/>
      <c r="H771" s="48"/>
    </row>
    <row r="772" spans="3:8" ht="15.75" customHeight="1" x14ac:dyDescent="0.2">
      <c r="C772" s="48"/>
      <c r="F772" s="48"/>
      <c r="H772" s="48"/>
    </row>
    <row r="773" spans="3:8" ht="15.75" customHeight="1" x14ac:dyDescent="0.2">
      <c r="C773" s="48"/>
      <c r="F773" s="48"/>
      <c r="H773" s="48"/>
    </row>
    <row r="774" spans="3:8" ht="15.75" customHeight="1" x14ac:dyDescent="0.2">
      <c r="C774" s="48"/>
      <c r="F774" s="48"/>
      <c r="H774" s="48"/>
    </row>
    <row r="775" spans="3:8" ht="15.75" customHeight="1" x14ac:dyDescent="0.2">
      <c r="C775" s="48"/>
      <c r="F775" s="48"/>
      <c r="H775" s="48"/>
    </row>
    <row r="776" spans="3:8" ht="15.75" customHeight="1" x14ac:dyDescent="0.2">
      <c r="C776" s="48"/>
      <c r="F776" s="48"/>
      <c r="H776" s="48"/>
    </row>
    <row r="777" spans="3:8" ht="15.75" customHeight="1" x14ac:dyDescent="0.2">
      <c r="C777" s="48"/>
      <c r="F777" s="48"/>
      <c r="H777" s="48"/>
    </row>
    <row r="778" spans="3:8" ht="15.75" customHeight="1" x14ac:dyDescent="0.2">
      <c r="C778" s="48"/>
      <c r="F778" s="48"/>
      <c r="H778" s="48"/>
    </row>
    <row r="779" spans="3:8" ht="15.75" customHeight="1" x14ac:dyDescent="0.2">
      <c r="C779" s="48"/>
      <c r="F779" s="48"/>
      <c r="H779" s="48"/>
    </row>
    <row r="780" spans="3:8" ht="15.75" customHeight="1" x14ac:dyDescent="0.2">
      <c r="C780" s="48"/>
      <c r="F780" s="48"/>
      <c r="H780" s="48"/>
    </row>
    <row r="781" spans="3:8" ht="15.75" customHeight="1" x14ac:dyDescent="0.2">
      <c r="C781" s="48"/>
      <c r="F781" s="48"/>
      <c r="H781" s="48"/>
    </row>
    <row r="782" spans="3:8" ht="15.75" customHeight="1" x14ac:dyDescent="0.2">
      <c r="C782" s="48"/>
      <c r="F782" s="48"/>
      <c r="H782" s="48"/>
    </row>
    <row r="783" spans="3:8" ht="15.75" customHeight="1" x14ac:dyDescent="0.2">
      <c r="C783" s="48"/>
      <c r="F783" s="48"/>
      <c r="H783" s="48"/>
    </row>
    <row r="784" spans="3:8" ht="15.75" customHeight="1" x14ac:dyDescent="0.2">
      <c r="C784" s="48"/>
      <c r="F784" s="48"/>
      <c r="H784" s="48"/>
    </row>
    <row r="785" spans="3:8" ht="15.75" customHeight="1" x14ac:dyDescent="0.2">
      <c r="C785" s="48"/>
      <c r="F785" s="48"/>
      <c r="H785" s="48"/>
    </row>
    <row r="786" spans="3:8" ht="15.75" customHeight="1" x14ac:dyDescent="0.2">
      <c r="C786" s="48"/>
      <c r="F786" s="48"/>
      <c r="H786" s="48"/>
    </row>
    <row r="787" spans="3:8" ht="15.75" customHeight="1" x14ac:dyDescent="0.2">
      <c r="C787" s="48"/>
      <c r="F787" s="48"/>
      <c r="H787" s="48"/>
    </row>
    <row r="788" spans="3:8" ht="15.75" customHeight="1" x14ac:dyDescent="0.2">
      <c r="C788" s="48"/>
      <c r="F788" s="48"/>
      <c r="H788" s="48"/>
    </row>
    <row r="789" spans="3:8" ht="15.75" customHeight="1" x14ac:dyDescent="0.2">
      <c r="C789" s="48"/>
      <c r="F789" s="48"/>
      <c r="H789" s="48"/>
    </row>
    <row r="790" spans="3:8" ht="15.75" customHeight="1" x14ac:dyDescent="0.2">
      <c r="C790" s="48"/>
      <c r="F790" s="48"/>
      <c r="H790" s="48"/>
    </row>
    <row r="791" spans="3:8" ht="15.75" customHeight="1" x14ac:dyDescent="0.2">
      <c r="C791" s="48"/>
      <c r="F791" s="48"/>
      <c r="H791" s="48"/>
    </row>
    <row r="792" spans="3:8" ht="15.75" customHeight="1" x14ac:dyDescent="0.2">
      <c r="C792" s="48"/>
      <c r="F792" s="48"/>
      <c r="H792" s="48"/>
    </row>
    <row r="793" spans="3:8" ht="15.75" customHeight="1" x14ac:dyDescent="0.2">
      <c r="C793" s="48"/>
      <c r="F793" s="48"/>
      <c r="H793" s="48"/>
    </row>
    <row r="794" spans="3:8" ht="15.75" customHeight="1" x14ac:dyDescent="0.2">
      <c r="C794" s="48"/>
      <c r="F794" s="48"/>
      <c r="H794" s="48"/>
    </row>
    <row r="795" spans="3:8" ht="15.75" customHeight="1" x14ac:dyDescent="0.2">
      <c r="C795" s="48"/>
      <c r="F795" s="48"/>
      <c r="H795" s="48"/>
    </row>
    <row r="796" spans="3:8" ht="15.75" customHeight="1" x14ac:dyDescent="0.2">
      <c r="C796" s="48"/>
      <c r="F796" s="48"/>
      <c r="H796" s="48"/>
    </row>
    <row r="797" spans="3:8" ht="15.75" customHeight="1" x14ac:dyDescent="0.2">
      <c r="C797" s="48"/>
      <c r="F797" s="48"/>
      <c r="H797" s="48"/>
    </row>
    <row r="798" spans="3:8" ht="15.75" customHeight="1" x14ac:dyDescent="0.2">
      <c r="C798" s="48"/>
      <c r="F798" s="48"/>
      <c r="H798" s="48"/>
    </row>
    <row r="799" spans="3:8" ht="15.75" customHeight="1" x14ac:dyDescent="0.2">
      <c r="C799" s="48"/>
      <c r="F799" s="48"/>
      <c r="H799" s="48"/>
    </row>
    <row r="800" spans="3:8" ht="15.75" customHeight="1" x14ac:dyDescent="0.2">
      <c r="C800" s="48"/>
      <c r="F800" s="48"/>
      <c r="H800" s="48"/>
    </row>
    <row r="801" spans="3:8" ht="15.75" customHeight="1" x14ac:dyDescent="0.2">
      <c r="C801" s="48"/>
      <c r="F801" s="48"/>
      <c r="H801" s="48"/>
    </row>
    <row r="802" spans="3:8" ht="15.75" customHeight="1" x14ac:dyDescent="0.2">
      <c r="C802" s="48"/>
      <c r="F802" s="48"/>
      <c r="H802" s="48"/>
    </row>
    <row r="803" spans="3:8" ht="15.75" customHeight="1" x14ac:dyDescent="0.2">
      <c r="C803" s="48"/>
      <c r="F803" s="48"/>
      <c r="H803" s="48"/>
    </row>
    <row r="804" spans="3:8" ht="15.75" customHeight="1" x14ac:dyDescent="0.2">
      <c r="C804" s="48"/>
      <c r="F804" s="48"/>
      <c r="H804" s="48"/>
    </row>
    <row r="805" spans="3:8" ht="15.75" customHeight="1" x14ac:dyDescent="0.2">
      <c r="C805" s="48"/>
      <c r="F805" s="48"/>
      <c r="H805" s="48"/>
    </row>
    <row r="806" spans="3:8" ht="15.75" customHeight="1" x14ac:dyDescent="0.2">
      <c r="C806" s="48"/>
      <c r="F806" s="48"/>
      <c r="H806" s="48"/>
    </row>
    <row r="807" spans="3:8" ht="15.75" customHeight="1" x14ac:dyDescent="0.2">
      <c r="C807" s="48"/>
      <c r="F807" s="48"/>
      <c r="H807" s="48"/>
    </row>
    <row r="808" spans="3:8" ht="15.75" customHeight="1" x14ac:dyDescent="0.2">
      <c r="C808" s="48"/>
      <c r="F808" s="48"/>
      <c r="H808" s="48"/>
    </row>
    <row r="809" spans="3:8" ht="15.75" customHeight="1" x14ac:dyDescent="0.2">
      <c r="C809" s="48"/>
      <c r="F809" s="48"/>
      <c r="H809" s="48"/>
    </row>
    <row r="810" spans="3:8" ht="15.75" customHeight="1" x14ac:dyDescent="0.2">
      <c r="C810" s="48"/>
      <c r="F810" s="48"/>
      <c r="H810" s="48"/>
    </row>
    <row r="811" spans="3:8" ht="15.75" customHeight="1" x14ac:dyDescent="0.2">
      <c r="C811" s="48"/>
      <c r="F811" s="48"/>
      <c r="H811" s="48"/>
    </row>
    <row r="812" spans="3:8" ht="15.75" customHeight="1" x14ac:dyDescent="0.2">
      <c r="C812" s="48"/>
      <c r="F812" s="48"/>
      <c r="H812" s="48"/>
    </row>
    <row r="813" spans="3:8" ht="15.75" customHeight="1" x14ac:dyDescent="0.2">
      <c r="C813" s="48"/>
      <c r="F813" s="48"/>
      <c r="H813" s="48"/>
    </row>
    <row r="814" spans="3:8" ht="15.75" customHeight="1" x14ac:dyDescent="0.2">
      <c r="C814" s="48"/>
      <c r="F814" s="48"/>
      <c r="H814" s="48"/>
    </row>
    <row r="815" spans="3:8" ht="15.75" customHeight="1" x14ac:dyDescent="0.2">
      <c r="C815" s="48"/>
      <c r="F815" s="48"/>
      <c r="H815" s="48"/>
    </row>
    <row r="816" spans="3:8" ht="15.75" customHeight="1" x14ac:dyDescent="0.2">
      <c r="C816" s="48"/>
      <c r="F816" s="48"/>
      <c r="H816" s="48"/>
    </row>
    <row r="817" spans="3:8" ht="15.75" customHeight="1" x14ac:dyDescent="0.2">
      <c r="C817" s="48"/>
      <c r="F817" s="48"/>
      <c r="H817" s="48"/>
    </row>
    <row r="818" spans="3:8" ht="15.75" customHeight="1" x14ac:dyDescent="0.2">
      <c r="C818" s="48"/>
      <c r="F818" s="48"/>
      <c r="H818" s="48"/>
    </row>
    <row r="819" spans="3:8" ht="15.75" customHeight="1" x14ac:dyDescent="0.2">
      <c r="C819" s="48"/>
      <c r="F819" s="48"/>
      <c r="H819" s="48"/>
    </row>
    <row r="820" spans="3:8" ht="15.75" customHeight="1" x14ac:dyDescent="0.2">
      <c r="C820" s="48"/>
      <c r="F820" s="48"/>
      <c r="H820" s="48"/>
    </row>
    <row r="821" spans="3:8" ht="15.75" customHeight="1" x14ac:dyDescent="0.2">
      <c r="C821" s="48"/>
      <c r="F821" s="48"/>
      <c r="H821" s="48"/>
    </row>
    <row r="822" spans="3:8" ht="15.75" customHeight="1" x14ac:dyDescent="0.2">
      <c r="C822" s="48"/>
      <c r="F822" s="48"/>
      <c r="H822" s="48"/>
    </row>
    <row r="823" spans="3:8" ht="15.75" customHeight="1" x14ac:dyDescent="0.2">
      <c r="C823" s="48"/>
      <c r="F823" s="48"/>
      <c r="H823" s="48"/>
    </row>
    <row r="824" spans="3:8" ht="15.75" customHeight="1" x14ac:dyDescent="0.2">
      <c r="C824" s="48"/>
      <c r="F824" s="48"/>
      <c r="H824" s="48"/>
    </row>
    <row r="825" spans="3:8" ht="15.75" customHeight="1" x14ac:dyDescent="0.2">
      <c r="C825" s="48"/>
      <c r="F825" s="48"/>
      <c r="H825" s="48"/>
    </row>
    <row r="826" spans="3:8" ht="15.75" customHeight="1" x14ac:dyDescent="0.2">
      <c r="C826" s="48"/>
      <c r="F826" s="48"/>
      <c r="H826" s="48"/>
    </row>
    <row r="827" spans="3:8" ht="15.75" customHeight="1" x14ac:dyDescent="0.2">
      <c r="C827" s="48"/>
      <c r="F827" s="48"/>
      <c r="H827" s="48"/>
    </row>
    <row r="828" spans="3:8" ht="15.75" customHeight="1" x14ac:dyDescent="0.2">
      <c r="C828" s="48"/>
      <c r="F828" s="48"/>
      <c r="H828" s="48"/>
    </row>
    <row r="829" spans="3:8" ht="15.75" customHeight="1" x14ac:dyDescent="0.2">
      <c r="C829" s="48"/>
      <c r="F829" s="48"/>
      <c r="H829" s="48"/>
    </row>
    <row r="830" spans="3:8" ht="15.75" customHeight="1" x14ac:dyDescent="0.2">
      <c r="C830" s="48"/>
      <c r="F830" s="48"/>
      <c r="H830" s="48"/>
    </row>
    <row r="831" spans="3:8" ht="15.75" customHeight="1" x14ac:dyDescent="0.2">
      <c r="C831" s="48"/>
      <c r="F831" s="48"/>
      <c r="H831" s="48"/>
    </row>
    <row r="832" spans="3:8" ht="15.75" customHeight="1" x14ac:dyDescent="0.2">
      <c r="C832" s="48"/>
      <c r="F832" s="48"/>
      <c r="H832" s="48"/>
    </row>
    <row r="833" spans="3:8" ht="15.75" customHeight="1" x14ac:dyDescent="0.2">
      <c r="C833" s="48"/>
      <c r="F833" s="48"/>
      <c r="H833" s="48"/>
    </row>
    <row r="834" spans="3:8" ht="15.75" customHeight="1" x14ac:dyDescent="0.2">
      <c r="C834" s="48"/>
      <c r="F834" s="48"/>
      <c r="H834" s="48"/>
    </row>
    <row r="835" spans="3:8" ht="15.75" customHeight="1" x14ac:dyDescent="0.2">
      <c r="C835" s="48"/>
      <c r="F835" s="48"/>
      <c r="H835" s="48"/>
    </row>
    <row r="836" spans="3:8" ht="15.75" customHeight="1" x14ac:dyDescent="0.2">
      <c r="C836" s="48"/>
      <c r="F836" s="48"/>
      <c r="H836" s="48"/>
    </row>
    <row r="837" spans="3:8" ht="15.75" customHeight="1" x14ac:dyDescent="0.2">
      <c r="C837" s="48"/>
      <c r="F837" s="48"/>
      <c r="H837" s="48"/>
    </row>
    <row r="838" spans="3:8" ht="15.75" customHeight="1" x14ac:dyDescent="0.2">
      <c r="C838" s="48"/>
      <c r="F838" s="48"/>
      <c r="H838" s="48"/>
    </row>
    <row r="839" spans="3:8" ht="15.75" customHeight="1" x14ac:dyDescent="0.2">
      <c r="C839" s="48"/>
      <c r="F839" s="48"/>
      <c r="H839" s="48"/>
    </row>
    <row r="840" spans="3:8" ht="15.75" customHeight="1" x14ac:dyDescent="0.2">
      <c r="C840" s="48"/>
      <c r="F840" s="48"/>
      <c r="H840" s="48"/>
    </row>
    <row r="841" spans="3:8" ht="15.75" customHeight="1" x14ac:dyDescent="0.2">
      <c r="C841" s="48"/>
      <c r="F841" s="48"/>
      <c r="H841" s="48"/>
    </row>
    <row r="842" spans="3:8" ht="15.75" customHeight="1" x14ac:dyDescent="0.2">
      <c r="C842" s="48"/>
      <c r="F842" s="48"/>
      <c r="H842" s="48"/>
    </row>
    <row r="843" spans="3:8" ht="15.75" customHeight="1" x14ac:dyDescent="0.2">
      <c r="C843" s="48"/>
      <c r="F843" s="48"/>
      <c r="H843" s="48"/>
    </row>
    <row r="844" spans="3:8" ht="15.75" customHeight="1" x14ac:dyDescent="0.2">
      <c r="C844" s="48"/>
      <c r="F844" s="48"/>
      <c r="H844" s="48"/>
    </row>
    <row r="845" spans="3:8" ht="15.75" customHeight="1" x14ac:dyDescent="0.2">
      <c r="C845" s="48"/>
      <c r="F845" s="48"/>
      <c r="H845" s="48"/>
    </row>
    <row r="846" spans="3:8" ht="15.75" customHeight="1" x14ac:dyDescent="0.2">
      <c r="C846" s="48"/>
      <c r="F846" s="48"/>
      <c r="H846" s="48"/>
    </row>
    <row r="847" spans="3:8" ht="15.75" customHeight="1" x14ac:dyDescent="0.2">
      <c r="C847" s="48"/>
      <c r="F847" s="48"/>
      <c r="H847" s="48"/>
    </row>
    <row r="848" spans="3:8" ht="15.75" customHeight="1" x14ac:dyDescent="0.2">
      <c r="C848" s="48"/>
      <c r="F848" s="48"/>
      <c r="H848" s="48"/>
    </row>
    <row r="849" spans="3:8" ht="15.75" customHeight="1" x14ac:dyDescent="0.2">
      <c r="C849" s="48"/>
      <c r="F849" s="48"/>
      <c r="H849" s="48"/>
    </row>
    <row r="850" spans="3:8" ht="15.75" customHeight="1" x14ac:dyDescent="0.2">
      <c r="C850" s="48"/>
      <c r="F850" s="48"/>
      <c r="H850" s="48"/>
    </row>
    <row r="851" spans="3:8" ht="15.75" customHeight="1" x14ac:dyDescent="0.2">
      <c r="C851" s="48"/>
      <c r="F851" s="48"/>
      <c r="H851" s="48"/>
    </row>
    <row r="852" spans="3:8" ht="15.75" customHeight="1" x14ac:dyDescent="0.2">
      <c r="C852" s="48"/>
      <c r="F852" s="48"/>
      <c r="H852" s="48"/>
    </row>
    <row r="853" spans="3:8" ht="15.75" customHeight="1" x14ac:dyDescent="0.2">
      <c r="C853" s="48"/>
      <c r="F853" s="48"/>
      <c r="H853" s="48"/>
    </row>
    <row r="854" spans="3:8" ht="15.75" customHeight="1" x14ac:dyDescent="0.2">
      <c r="C854" s="48"/>
      <c r="F854" s="48"/>
      <c r="H854" s="48"/>
    </row>
    <row r="855" spans="3:8" ht="15.75" customHeight="1" x14ac:dyDescent="0.2">
      <c r="C855" s="48"/>
      <c r="F855" s="48"/>
      <c r="H855" s="48"/>
    </row>
    <row r="856" spans="3:8" ht="15.75" customHeight="1" x14ac:dyDescent="0.2">
      <c r="C856" s="48"/>
      <c r="F856" s="48"/>
      <c r="H856" s="48"/>
    </row>
    <row r="857" spans="3:8" ht="15.75" customHeight="1" x14ac:dyDescent="0.2">
      <c r="C857" s="48"/>
      <c r="F857" s="48"/>
      <c r="H857" s="48"/>
    </row>
    <row r="858" spans="3:8" ht="15.75" customHeight="1" x14ac:dyDescent="0.2">
      <c r="C858" s="48"/>
      <c r="F858" s="48"/>
      <c r="H858" s="48"/>
    </row>
    <row r="859" spans="3:8" ht="15.75" customHeight="1" x14ac:dyDescent="0.2">
      <c r="C859" s="48"/>
      <c r="F859" s="48"/>
      <c r="H859" s="48"/>
    </row>
    <row r="860" spans="3:8" ht="15.75" customHeight="1" x14ac:dyDescent="0.2">
      <c r="C860" s="48"/>
      <c r="F860" s="48"/>
      <c r="H860" s="48"/>
    </row>
    <row r="861" spans="3:8" ht="15.75" customHeight="1" x14ac:dyDescent="0.2">
      <c r="C861" s="48"/>
      <c r="F861" s="48"/>
      <c r="H861" s="48"/>
    </row>
    <row r="862" spans="3:8" ht="15.75" customHeight="1" x14ac:dyDescent="0.2">
      <c r="C862" s="48"/>
      <c r="F862" s="48"/>
      <c r="H862" s="48"/>
    </row>
    <row r="863" spans="3:8" ht="15.75" customHeight="1" x14ac:dyDescent="0.2">
      <c r="C863" s="48"/>
      <c r="F863" s="48"/>
      <c r="H863" s="48"/>
    </row>
    <row r="864" spans="3:8" ht="15.75" customHeight="1" x14ac:dyDescent="0.2">
      <c r="C864" s="48"/>
      <c r="F864" s="48"/>
      <c r="H864" s="48"/>
    </row>
    <row r="865" spans="3:8" ht="15.75" customHeight="1" x14ac:dyDescent="0.2">
      <c r="C865" s="48"/>
      <c r="F865" s="48"/>
      <c r="H865" s="48"/>
    </row>
    <row r="866" spans="3:8" ht="15.75" customHeight="1" x14ac:dyDescent="0.2">
      <c r="C866" s="48"/>
      <c r="F866" s="48"/>
      <c r="H866" s="48"/>
    </row>
    <row r="867" spans="3:8" ht="15.75" customHeight="1" x14ac:dyDescent="0.2">
      <c r="C867" s="48"/>
      <c r="F867" s="48"/>
      <c r="H867" s="48"/>
    </row>
    <row r="868" spans="3:8" ht="15.75" customHeight="1" x14ac:dyDescent="0.2">
      <c r="C868" s="48"/>
      <c r="F868" s="48"/>
      <c r="H868" s="48"/>
    </row>
    <row r="869" spans="3:8" ht="15.75" customHeight="1" x14ac:dyDescent="0.2">
      <c r="C869" s="48"/>
      <c r="F869" s="48"/>
      <c r="H869" s="48"/>
    </row>
    <row r="870" spans="3:8" ht="15.75" customHeight="1" x14ac:dyDescent="0.2">
      <c r="C870" s="48"/>
      <c r="F870" s="48"/>
      <c r="H870" s="48"/>
    </row>
    <row r="871" spans="3:8" ht="15.75" customHeight="1" x14ac:dyDescent="0.2">
      <c r="C871" s="48"/>
      <c r="F871" s="48"/>
      <c r="H871" s="48"/>
    </row>
    <row r="872" spans="3:8" ht="15.75" customHeight="1" x14ac:dyDescent="0.2">
      <c r="C872" s="48"/>
      <c r="F872" s="48"/>
      <c r="H872" s="48"/>
    </row>
    <row r="873" spans="3:8" ht="15.75" customHeight="1" x14ac:dyDescent="0.2">
      <c r="C873" s="48"/>
      <c r="F873" s="48"/>
      <c r="H873" s="48"/>
    </row>
    <row r="874" spans="3:8" ht="15.75" customHeight="1" x14ac:dyDescent="0.2">
      <c r="C874" s="48"/>
      <c r="F874" s="48"/>
      <c r="H874" s="48"/>
    </row>
    <row r="875" spans="3:8" ht="15.75" customHeight="1" x14ac:dyDescent="0.2">
      <c r="C875" s="48"/>
      <c r="F875" s="48"/>
      <c r="H875" s="48"/>
    </row>
    <row r="876" spans="3:8" ht="15.75" customHeight="1" x14ac:dyDescent="0.2">
      <c r="C876" s="48"/>
      <c r="F876" s="48"/>
      <c r="H876" s="48"/>
    </row>
    <row r="877" spans="3:8" ht="15.75" customHeight="1" x14ac:dyDescent="0.2">
      <c r="C877" s="48"/>
      <c r="F877" s="48"/>
      <c r="H877" s="48"/>
    </row>
    <row r="878" spans="3:8" ht="15.75" customHeight="1" x14ac:dyDescent="0.2">
      <c r="C878" s="48"/>
      <c r="F878" s="48"/>
      <c r="H878" s="48"/>
    </row>
    <row r="879" spans="3:8" ht="15.75" customHeight="1" x14ac:dyDescent="0.2">
      <c r="C879" s="48"/>
      <c r="F879" s="48"/>
      <c r="H879" s="48"/>
    </row>
    <row r="880" spans="3:8" ht="15.75" customHeight="1" x14ac:dyDescent="0.2">
      <c r="C880" s="48"/>
      <c r="F880" s="48"/>
      <c r="H880" s="48"/>
    </row>
    <row r="881" spans="3:8" ht="15.75" customHeight="1" x14ac:dyDescent="0.2">
      <c r="C881" s="48"/>
      <c r="F881" s="48"/>
      <c r="H881" s="48"/>
    </row>
    <row r="882" spans="3:8" ht="15.75" customHeight="1" x14ac:dyDescent="0.2">
      <c r="C882" s="48"/>
      <c r="F882" s="48"/>
      <c r="H882" s="48"/>
    </row>
    <row r="883" spans="3:8" ht="15.75" customHeight="1" x14ac:dyDescent="0.2">
      <c r="C883" s="48"/>
      <c r="F883" s="48"/>
      <c r="H883" s="48"/>
    </row>
    <row r="884" spans="3:8" ht="15.75" customHeight="1" x14ac:dyDescent="0.2">
      <c r="C884" s="48"/>
      <c r="F884" s="48"/>
      <c r="H884" s="48"/>
    </row>
    <row r="885" spans="3:8" ht="15.75" customHeight="1" x14ac:dyDescent="0.2">
      <c r="C885" s="48"/>
      <c r="F885" s="48"/>
      <c r="H885" s="48"/>
    </row>
    <row r="886" spans="3:8" ht="15.75" customHeight="1" x14ac:dyDescent="0.2">
      <c r="C886" s="48"/>
      <c r="F886" s="48"/>
      <c r="H886" s="48"/>
    </row>
    <row r="887" spans="3:8" ht="15.75" customHeight="1" x14ac:dyDescent="0.2">
      <c r="C887" s="48"/>
      <c r="F887" s="48"/>
      <c r="H887" s="48"/>
    </row>
    <row r="888" spans="3:8" ht="15.75" customHeight="1" x14ac:dyDescent="0.2">
      <c r="C888" s="48"/>
      <c r="F888" s="48"/>
      <c r="H888" s="48"/>
    </row>
    <row r="889" spans="3:8" ht="15.75" customHeight="1" x14ac:dyDescent="0.2">
      <c r="C889" s="48"/>
      <c r="F889" s="48"/>
      <c r="H889" s="48"/>
    </row>
    <row r="890" spans="3:8" ht="15.75" customHeight="1" x14ac:dyDescent="0.2">
      <c r="C890" s="48"/>
      <c r="F890" s="48"/>
      <c r="H890" s="48"/>
    </row>
    <row r="891" spans="3:8" ht="15.75" customHeight="1" x14ac:dyDescent="0.2">
      <c r="C891" s="48"/>
      <c r="F891" s="48"/>
      <c r="H891" s="48"/>
    </row>
    <row r="892" spans="3:8" ht="15.75" customHeight="1" x14ac:dyDescent="0.2">
      <c r="C892" s="48"/>
      <c r="F892" s="48"/>
      <c r="H892" s="48"/>
    </row>
    <row r="893" spans="3:8" ht="15.75" customHeight="1" x14ac:dyDescent="0.2">
      <c r="C893" s="48"/>
      <c r="F893" s="48"/>
      <c r="H893" s="48"/>
    </row>
    <row r="894" spans="3:8" ht="15.75" customHeight="1" x14ac:dyDescent="0.2">
      <c r="C894" s="48"/>
      <c r="F894" s="48"/>
      <c r="H894" s="48"/>
    </row>
    <row r="895" spans="3:8" ht="15.75" customHeight="1" x14ac:dyDescent="0.2">
      <c r="C895" s="48"/>
      <c r="F895" s="48"/>
      <c r="H895" s="48"/>
    </row>
    <row r="896" spans="3:8" ht="15.75" customHeight="1" x14ac:dyDescent="0.2">
      <c r="C896" s="48"/>
      <c r="F896" s="48"/>
      <c r="H896" s="48"/>
    </row>
    <row r="897" spans="3:8" ht="15.75" customHeight="1" x14ac:dyDescent="0.2">
      <c r="C897" s="48"/>
      <c r="F897" s="48"/>
      <c r="H897" s="48"/>
    </row>
    <row r="898" spans="3:8" ht="15.75" customHeight="1" x14ac:dyDescent="0.2">
      <c r="C898" s="48"/>
      <c r="F898" s="48"/>
      <c r="H898" s="48"/>
    </row>
    <row r="899" spans="3:8" ht="15.75" customHeight="1" x14ac:dyDescent="0.2">
      <c r="C899" s="48"/>
      <c r="F899" s="48"/>
      <c r="H899" s="48"/>
    </row>
    <row r="900" spans="3:8" ht="15.75" customHeight="1" x14ac:dyDescent="0.2">
      <c r="C900" s="48"/>
      <c r="F900" s="48"/>
      <c r="H900" s="48"/>
    </row>
    <row r="901" spans="3:8" ht="15.75" customHeight="1" x14ac:dyDescent="0.2">
      <c r="C901" s="48"/>
      <c r="F901" s="48"/>
      <c r="H901" s="48"/>
    </row>
    <row r="902" spans="3:8" ht="15.75" customHeight="1" x14ac:dyDescent="0.2">
      <c r="C902" s="48"/>
      <c r="F902" s="48"/>
      <c r="H902" s="48"/>
    </row>
    <row r="903" spans="3:8" ht="15.75" customHeight="1" x14ac:dyDescent="0.2">
      <c r="C903" s="48"/>
      <c r="F903" s="48"/>
      <c r="H903" s="48"/>
    </row>
    <row r="904" spans="3:8" ht="15.75" customHeight="1" x14ac:dyDescent="0.2">
      <c r="C904" s="48"/>
      <c r="F904" s="48"/>
      <c r="H904" s="48"/>
    </row>
    <row r="905" spans="3:8" ht="15.75" customHeight="1" x14ac:dyDescent="0.2">
      <c r="C905" s="48"/>
      <c r="F905" s="48"/>
      <c r="H905" s="48"/>
    </row>
    <row r="906" spans="3:8" ht="15.75" customHeight="1" x14ac:dyDescent="0.2">
      <c r="C906" s="48"/>
      <c r="F906" s="48"/>
      <c r="H906" s="48"/>
    </row>
    <row r="907" spans="3:8" ht="15.75" customHeight="1" x14ac:dyDescent="0.2">
      <c r="C907" s="48"/>
      <c r="F907" s="48"/>
      <c r="H907" s="48"/>
    </row>
    <row r="908" spans="3:8" ht="15.75" customHeight="1" x14ac:dyDescent="0.2">
      <c r="C908" s="48"/>
      <c r="F908" s="48"/>
      <c r="H908" s="48"/>
    </row>
    <row r="909" spans="3:8" ht="15.75" customHeight="1" x14ac:dyDescent="0.2">
      <c r="C909" s="48"/>
      <c r="F909" s="48"/>
      <c r="H909" s="48"/>
    </row>
    <row r="910" spans="3:8" ht="15.75" customHeight="1" x14ac:dyDescent="0.2">
      <c r="C910" s="48"/>
      <c r="F910" s="48"/>
      <c r="H910" s="48"/>
    </row>
    <row r="911" spans="3:8" ht="15.75" customHeight="1" x14ac:dyDescent="0.2">
      <c r="C911" s="48"/>
      <c r="F911" s="48"/>
      <c r="H911" s="48"/>
    </row>
    <row r="912" spans="3:8" ht="15.75" customHeight="1" x14ac:dyDescent="0.2">
      <c r="C912" s="48"/>
      <c r="F912" s="48"/>
      <c r="H912" s="48"/>
    </row>
    <row r="913" spans="3:8" ht="15.75" customHeight="1" x14ac:dyDescent="0.2">
      <c r="C913" s="48"/>
      <c r="F913" s="48"/>
      <c r="H913" s="48"/>
    </row>
    <row r="914" spans="3:8" ht="15.75" customHeight="1" x14ac:dyDescent="0.2">
      <c r="C914" s="48"/>
      <c r="F914" s="48"/>
      <c r="H914" s="48"/>
    </row>
    <row r="915" spans="3:8" ht="15.75" customHeight="1" x14ac:dyDescent="0.2">
      <c r="C915" s="48"/>
      <c r="F915" s="48"/>
      <c r="H915" s="48"/>
    </row>
    <row r="916" spans="3:8" ht="15.75" customHeight="1" x14ac:dyDescent="0.2">
      <c r="C916" s="48"/>
      <c r="F916" s="48"/>
      <c r="H916" s="48"/>
    </row>
    <row r="917" spans="3:8" ht="15.75" customHeight="1" x14ac:dyDescent="0.2">
      <c r="C917" s="48"/>
      <c r="F917" s="48"/>
      <c r="H917" s="48"/>
    </row>
    <row r="918" spans="3:8" ht="15.75" customHeight="1" x14ac:dyDescent="0.2">
      <c r="C918" s="48"/>
      <c r="F918" s="48"/>
      <c r="H918" s="48"/>
    </row>
    <row r="919" spans="3:8" ht="15.75" customHeight="1" x14ac:dyDescent="0.2">
      <c r="C919" s="48"/>
      <c r="F919" s="48"/>
      <c r="H919" s="48"/>
    </row>
    <row r="920" spans="3:8" ht="15.75" customHeight="1" x14ac:dyDescent="0.2">
      <c r="C920" s="48"/>
      <c r="F920" s="48"/>
      <c r="H920" s="48"/>
    </row>
    <row r="921" spans="3:8" ht="15.75" customHeight="1" x14ac:dyDescent="0.2">
      <c r="C921" s="48"/>
      <c r="F921" s="48"/>
      <c r="H921" s="48"/>
    </row>
    <row r="922" spans="3:8" ht="15.75" customHeight="1" x14ac:dyDescent="0.2">
      <c r="C922" s="48"/>
      <c r="F922" s="48"/>
      <c r="H922" s="48"/>
    </row>
    <row r="923" spans="3:8" ht="15.75" customHeight="1" x14ac:dyDescent="0.2">
      <c r="C923" s="48"/>
      <c r="F923" s="48"/>
      <c r="H923" s="48"/>
    </row>
    <row r="924" spans="3:8" ht="15.75" customHeight="1" x14ac:dyDescent="0.2">
      <c r="C924" s="48"/>
      <c r="F924" s="48"/>
      <c r="H924" s="48"/>
    </row>
    <row r="925" spans="3:8" ht="15.75" customHeight="1" x14ac:dyDescent="0.2">
      <c r="C925" s="48"/>
      <c r="F925" s="48"/>
      <c r="H925" s="48"/>
    </row>
    <row r="926" spans="3:8" ht="15.75" customHeight="1" x14ac:dyDescent="0.2">
      <c r="C926" s="48"/>
      <c r="F926" s="48"/>
      <c r="H926" s="48"/>
    </row>
    <row r="927" spans="3:8" ht="15.75" customHeight="1" x14ac:dyDescent="0.2">
      <c r="C927" s="48"/>
      <c r="F927" s="48"/>
      <c r="H927" s="48"/>
    </row>
    <row r="928" spans="3:8" ht="15.75" customHeight="1" x14ac:dyDescent="0.2">
      <c r="C928" s="48"/>
      <c r="F928" s="48"/>
      <c r="H928" s="48"/>
    </row>
    <row r="929" spans="3:8" ht="15.75" customHeight="1" x14ac:dyDescent="0.2">
      <c r="C929" s="48"/>
      <c r="F929" s="48"/>
      <c r="H929" s="48"/>
    </row>
    <row r="930" spans="3:8" ht="15.75" customHeight="1" x14ac:dyDescent="0.2">
      <c r="C930" s="48"/>
      <c r="F930" s="48"/>
      <c r="H930" s="48"/>
    </row>
    <row r="931" spans="3:8" ht="15.75" customHeight="1" x14ac:dyDescent="0.2">
      <c r="C931" s="48"/>
      <c r="F931" s="48"/>
      <c r="H931" s="48"/>
    </row>
    <row r="932" spans="3:8" ht="15.75" customHeight="1" x14ac:dyDescent="0.2">
      <c r="C932" s="48"/>
      <c r="F932" s="48"/>
      <c r="H932" s="48"/>
    </row>
    <row r="933" spans="3:8" ht="15.75" customHeight="1" x14ac:dyDescent="0.2">
      <c r="C933" s="48"/>
      <c r="F933" s="48"/>
      <c r="H933" s="48"/>
    </row>
    <row r="934" spans="3:8" ht="15.75" customHeight="1" x14ac:dyDescent="0.2">
      <c r="C934" s="48"/>
      <c r="F934" s="48"/>
      <c r="H934" s="48"/>
    </row>
    <row r="935" spans="3:8" ht="15.75" customHeight="1" x14ac:dyDescent="0.2">
      <c r="C935" s="48"/>
      <c r="F935" s="48"/>
      <c r="H935" s="48"/>
    </row>
    <row r="936" spans="3:8" ht="15.75" customHeight="1" x14ac:dyDescent="0.2">
      <c r="C936" s="48"/>
      <c r="F936" s="48"/>
      <c r="H936" s="48"/>
    </row>
    <row r="937" spans="3:8" ht="15.75" customHeight="1" x14ac:dyDescent="0.2">
      <c r="C937" s="48"/>
      <c r="F937" s="48"/>
      <c r="H937" s="48"/>
    </row>
    <row r="938" spans="3:8" ht="15.75" customHeight="1" x14ac:dyDescent="0.2">
      <c r="C938" s="48"/>
      <c r="F938" s="48"/>
      <c r="H938" s="48"/>
    </row>
    <row r="939" spans="3:8" ht="15.75" customHeight="1" x14ac:dyDescent="0.2">
      <c r="C939" s="48"/>
      <c r="F939" s="48"/>
      <c r="H939" s="48"/>
    </row>
    <row r="940" spans="3:8" ht="15.75" customHeight="1" x14ac:dyDescent="0.2">
      <c r="C940" s="48"/>
      <c r="F940" s="48"/>
      <c r="H940" s="48"/>
    </row>
    <row r="941" spans="3:8" ht="15.75" customHeight="1" x14ac:dyDescent="0.2">
      <c r="C941" s="48"/>
      <c r="F941" s="48"/>
      <c r="H941" s="48"/>
    </row>
    <row r="942" spans="3:8" ht="15.75" customHeight="1" x14ac:dyDescent="0.2">
      <c r="C942" s="48"/>
      <c r="F942" s="48"/>
      <c r="H942" s="48"/>
    </row>
    <row r="943" spans="3:8" ht="15.75" customHeight="1" x14ac:dyDescent="0.2">
      <c r="C943" s="48"/>
      <c r="F943" s="48"/>
      <c r="H943" s="48"/>
    </row>
    <row r="944" spans="3:8" ht="15.75" customHeight="1" x14ac:dyDescent="0.2">
      <c r="C944" s="48"/>
      <c r="F944" s="48"/>
      <c r="H944" s="48"/>
    </row>
    <row r="945" spans="3:8" ht="15.75" customHeight="1" x14ac:dyDescent="0.2">
      <c r="C945" s="48"/>
      <c r="F945" s="48"/>
      <c r="H945" s="48"/>
    </row>
    <row r="946" spans="3:8" ht="15.75" customHeight="1" x14ac:dyDescent="0.2">
      <c r="C946" s="48"/>
      <c r="F946" s="48"/>
      <c r="H946" s="48"/>
    </row>
    <row r="947" spans="3:8" ht="15.75" customHeight="1" x14ac:dyDescent="0.2">
      <c r="C947" s="48"/>
      <c r="F947" s="48"/>
      <c r="H947" s="48"/>
    </row>
    <row r="948" spans="3:8" ht="15.75" customHeight="1" x14ac:dyDescent="0.2">
      <c r="C948" s="48"/>
      <c r="F948" s="48"/>
      <c r="H948" s="48"/>
    </row>
    <row r="949" spans="3:8" ht="15.75" customHeight="1" x14ac:dyDescent="0.2">
      <c r="C949" s="48"/>
      <c r="F949" s="48"/>
      <c r="H949" s="48"/>
    </row>
    <row r="950" spans="3:8" ht="15.75" customHeight="1" x14ac:dyDescent="0.2">
      <c r="C950" s="48"/>
      <c r="F950" s="48"/>
      <c r="H950" s="48"/>
    </row>
    <row r="951" spans="3:8" ht="15.75" customHeight="1" x14ac:dyDescent="0.2">
      <c r="C951" s="48"/>
      <c r="F951" s="48"/>
      <c r="H951" s="48"/>
    </row>
    <row r="952" spans="3:8" ht="15.75" customHeight="1" x14ac:dyDescent="0.2">
      <c r="C952" s="48"/>
      <c r="F952" s="48"/>
      <c r="H952" s="48"/>
    </row>
    <row r="953" spans="3:8" ht="15.75" customHeight="1" x14ac:dyDescent="0.2">
      <c r="C953" s="48"/>
      <c r="F953" s="48"/>
      <c r="H953" s="48"/>
    </row>
    <row r="954" spans="3:8" ht="15.75" customHeight="1" x14ac:dyDescent="0.2">
      <c r="C954" s="48"/>
      <c r="F954" s="48"/>
      <c r="H954" s="48"/>
    </row>
    <row r="955" spans="3:8" ht="15.75" customHeight="1" x14ac:dyDescent="0.2">
      <c r="C955" s="48"/>
      <c r="F955" s="48"/>
      <c r="H955" s="48"/>
    </row>
    <row r="956" spans="3:8" ht="15.75" customHeight="1" x14ac:dyDescent="0.2">
      <c r="C956" s="48"/>
      <c r="F956" s="48"/>
      <c r="H956" s="48"/>
    </row>
    <row r="957" spans="3:8" ht="15.75" customHeight="1" x14ac:dyDescent="0.2">
      <c r="C957" s="48"/>
      <c r="F957" s="48"/>
      <c r="H957" s="48"/>
    </row>
    <row r="958" spans="3:8" ht="15.75" customHeight="1" x14ac:dyDescent="0.2">
      <c r="C958" s="48"/>
      <c r="F958" s="48"/>
      <c r="H958" s="48"/>
    </row>
    <row r="959" spans="3:8" ht="15.75" customHeight="1" x14ac:dyDescent="0.2">
      <c r="C959" s="48"/>
      <c r="F959" s="48"/>
      <c r="H959" s="48"/>
    </row>
    <row r="960" spans="3:8" ht="15.75" customHeight="1" x14ac:dyDescent="0.2">
      <c r="C960" s="48"/>
      <c r="F960" s="48"/>
      <c r="H960" s="48"/>
    </row>
    <row r="961" spans="3:8" ht="15.75" customHeight="1" x14ac:dyDescent="0.2">
      <c r="C961" s="48"/>
      <c r="F961" s="48"/>
      <c r="H961" s="48"/>
    </row>
    <row r="962" spans="3:8" ht="15.75" customHeight="1" x14ac:dyDescent="0.2">
      <c r="C962" s="48"/>
      <c r="F962" s="48"/>
      <c r="H962" s="48"/>
    </row>
    <row r="963" spans="3:8" ht="15.75" customHeight="1" x14ac:dyDescent="0.2">
      <c r="C963" s="48"/>
      <c r="F963" s="48"/>
      <c r="H963" s="48"/>
    </row>
    <row r="964" spans="3:8" ht="15.75" customHeight="1" x14ac:dyDescent="0.2">
      <c r="C964" s="48"/>
      <c r="F964" s="48"/>
      <c r="H964" s="48"/>
    </row>
    <row r="965" spans="3:8" ht="15.75" customHeight="1" x14ac:dyDescent="0.2">
      <c r="C965" s="48"/>
      <c r="F965" s="48"/>
      <c r="H965" s="48"/>
    </row>
    <row r="966" spans="3:8" ht="15.75" customHeight="1" x14ac:dyDescent="0.2">
      <c r="C966" s="48"/>
      <c r="F966" s="48"/>
      <c r="H966" s="48"/>
    </row>
    <row r="967" spans="3:8" ht="15.75" customHeight="1" x14ac:dyDescent="0.2">
      <c r="C967" s="48"/>
      <c r="F967" s="48"/>
      <c r="H967" s="48"/>
    </row>
    <row r="968" spans="3:8" ht="15.75" customHeight="1" x14ac:dyDescent="0.2">
      <c r="C968" s="48"/>
      <c r="F968" s="48"/>
      <c r="H968" s="48"/>
    </row>
    <row r="969" spans="3:8" ht="15.75" customHeight="1" x14ac:dyDescent="0.2">
      <c r="C969" s="48"/>
      <c r="F969" s="48"/>
      <c r="H969" s="48"/>
    </row>
    <row r="970" spans="3:8" ht="15.75" customHeight="1" x14ac:dyDescent="0.2">
      <c r="C970" s="48"/>
      <c r="F970" s="48"/>
      <c r="H970" s="48"/>
    </row>
    <row r="971" spans="3:8" ht="15.75" customHeight="1" x14ac:dyDescent="0.2">
      <c r="C971" s="48"/>
      <c r="F971" s="48"/>
      <c r="H971" s="48"/>
    </row>
    <row r="972" spans="3:8" ht="15.75" customHeight="1" x14ac:dyDescent="0.2">
      <c r="C972" s="48"/>
      <c r="F972" s="48"/>
      <c r="H972" s="48"/>
    </row>
    <row r="973" spans="3:8" ht="15.75" customHeight="1" x14ac:dyDescent="0.2">
      <c r="C973" s="48"/>
      <c r="F973" s="48"/>
      <c r="H973" s="48"/>
    </row>
    <row r="974" spans="3:8" ht="15.75" customHeight="1" x14ac:dyDescent="0.2">
      <c r="C974" s="48"/>
      <c r="F974" s="48"/>
      <c r="H974" s="48"/>
    </row>
    <row r="975" spans="3:8" ht="15.75" customHeight="1" x14ac:dyDescent="0.2">
      <c r="C975" s="48"/>
      <c r="F975" s="48"/>
      <c r="H975" s="48"/>
    </row>
    <row r="976" spans="3:8" ht="15.75" customHeight="1" x14ac:dyDescent="0.2">
      <c r="C976" s="48"/>
      <c r="F976" s="48"/>
      <c r="H976" s="48"/>
    </row>
    <row r="977" spans="3:8" ht="15.75" customHeight="1" x14ac:dyDescent="0.2">
      <c r="C977" s="48"/>
      <c r="F977" s="48"/>
      <c r="H977" s="48"/>
    </row>
    <row r="978" spans="3:8" ht="15.75" customHeight="1" x14ac:dyDescent="0.2">
      <c r="C978" s="48"/>
      <c r="F978" s="48"/>
      <c r="H978" s="48"/>
    </row>
    <row r="979" spans="3:8" ht="15.75" customHeight="1" x14ac:dyDescent="0.2">
      <c r="C979" s="48"/>
      <c r="F979" s="48"/>
      <c r="H979" s="48"/>
    </row>
    <row r="980" spans="3:8" ht="15.75" customHeight="1" x14ac:dyDescent="0.2">
      <c r="C980" s="48"/>
      <c r="F980" s="48"/>
      <c r="H980" s="48"/>
    </row>
    <row r="981" spans="3:8" ht="15.75" customHeight="1" x14ac:dyDescent="0.2">
      <c r="C981" s="48"/>
      <c r="F981" s="48"/>
      <c r="H981" s="48"/>
    </row>
    <row r="982" spans="3:8" ht="15.75" customHeight="1" x14ac:dyDescent="0.2">
      <c r="C982" s="48"/>
      <c r="F982" s="48"/>
      <c r="H982" s="48"/>
    </row>
    <row r="983" spans="3:8" ht="15.75" customHeight="1" x14ac:dyDescent="0.2">
      <c r="C983" s="48"/>
      <c r="F983" s="48"/>
      <c r="H983" s="48"/>
    </row>
    <row r="984" spans="3:8" ht="15.75" customHeight="1" x14ac:dyDescent="0.2">
      <c r="C984" s="48"/>
      <c r="F984" s="48"/>
      <c r="H984" s="48"/>
    </row>
    <row r="985" spans="3:8" ht="15.75" customHeight="1" x14ac:dyDescent="0.2">
      <c r="C985" s="48"/>
      <c r="F985" s="48"/>
      <c r="H985" s="48"/>
    </row>
    <row r="986" spans="3:8" ht="15.75" customHeight="1" x14ac:dyDescent="0.2">
      <c r="C986" s="48"/>
      <c r="F986" s="48"/>
      <c r="H986" s="48"/>
    </row>
    <row r="987" spans="3:8" ht="15.75" customHeight="1" x14ac:dyDescent="0.2">
      <c r="C987" s="48"/>
      <c r="F987" s="48"/>
      <c r="H987" s="48"/>
    </row>
    <row r="988" spans="3:8" ht="15.75" customHeight="1" x14ac:dyDescent="0.2">
      <c r="C988" s="48"/>
      <c r="F988" s="48"/>
      <c r="H988" s="48"/>
    </row>
    <row r="989" spans="3:8" ht="15.75" customHeight="1" x14ac:dyDescent="0.2">
      <c r="C989" s="48"/>
      <c r="F989" s="48"/>
      <c r="H989" s="48"/>
    </row>
    <row r="990" spans="3:8" ht="15.75" customHeight="1" x14ac:dyDescent="0.2">
      <c r="C990" s="48"/>
      <c r="F990" s="48"/>
      <c r="H990" s="48"/>
    </row>
    <row r="991" spans="3:8" ht="15.75" customHeight="1" x14ac:dyDescent="0.2">
      <c r="C991" s="48"/>
      <c r="F991" s="48"/>
      <c r="H991" s="48"/>
    </row>
    <row r="992" spans="3:8" ht="15.75" customHeight="1" x14ac:dyDescent="0.2">
      <c r="C992" s="48"/>
      <c r="F992" s="48"/>
      <c r="H992" s="48"/>
    </row>
    <row r="993" spans="3:8" ht="15.75" customHeight="1" x14ac:dyDescent="0.2">
      <c r="C993" s="48"/>
      <c r="F993" s="48"/>
      <c r="H993" s="48"/>
    </row>
    <row r="994" spans="3:8" ht="15.75" customHeight="1" x14ac:dyDescent="0.2">
      <c r="C994" s="48"/>
      <c r="F994" s="48"/>
      <c r="H994" s="48"/>
    </row>
    <row r="995" spans="3:8" ht="15.75" customHeight="1" x14ac:dyDescent="0.2">
      <c r="C995" s="48"/>
      <c r="F995" s="48"/>
      <c r="H995" s="48"/>
    </row>
    <row r="996" spans="3:8" ht="15.75" customHeight="1" x14ac:dyDescent="0.2">
      <c r="C996" s="48"/>
      <c r="F996" s="48"/>
      <c r="H996" s="48"/>
    </row>
  </sheetData>
  <mergeCells count="30">
    <mergeCell ref="J19:N21"/>
    <mergeCell ref="D21:E22"/>
    <mergeCell ref="B21:C21"/>
    <mergeCell ref="B23:C23"/>
    <mergeCell ref="D23:E23"/>
    <mergeCell ref="B17:C17"/>
    <mergeCell ref="B18:C18"/>
    <mergeCell ref="D18:E18"/>
    <mergeCell ref="B19:C19"/>
    <mergeCell ref="D19:E20"/>
    <mergeCell ref="B15:C15"/>
    <mergeCell ref="D15:E15"/>
    <mergeCell ref="B16:C16"/>
    <mergeCell ref="D16:E16"/>
    <mergeCell ref="D17:E17"/>
    <mergeCell ref="B9:C9"/>
    <mergeCell ref="D9:E9"/>
    <mergeCell ref="B10:C10"/>
    <mergeCell ref="D10:E10"/>
    <mergeCell ref="B13:E13"/>
    <mergeCell ref="D6:E6"/>
    <mergeCell ref="D7:E7"/>
    <mergeCell ref="B6:C6"/>
    <mergeCell ref="B8:C8"/>
    <mergeCell ref="D8:E8"/>
    <mergeCell ref="B2:E2"/>
    <mergeCell ref="G2:H2"/>
    <mergeCell ref="J2:N2"/>
    <mergeCell ref="B4:C4"/>
    <mergeCell ref="D4:E4"/>
  </mergeCells>
  <conditionalFormatting sqref="H4:H14">
    <cfRule type="colorScale" priority="2">
      <colorScale>
        <cfvo type="percent" val="0"/>
        <cfvo type="percent" val="50"/>
        <cfvo type="percent" val="100"/>
        <color rgb="FFFFFFFF"/>
        <color rgb="FFABDDC5"/>
        <color rgb="FF57BB8A"/>
      </colorScale>
    </cfRule>
  </conditionalFormatting>
  <conditionalFormatting sqref="G26:G273">
    <cfRule type="expression" dxfId="9" priority="1">
      <formula>G2="Lê Đức Anh"</formula>
    </cfRule>
  </conditionalFormatting>
  <dataValidations count="4">
    <dataValidation type="list" allowBlank="1" showErrorMessage="1" sqref="H26:H273" xr:uid="{00000000-0002-0000-0000-000000000000}">
      <formula1>"IDEA,TODO,IN PROGRESS,IN REVIEW,DONE"</formula1>
    </dataValidation>
    <dataValidation type="list" allowBlank="1" showErrorMessage="1" sqref="G26:G273" xr:uid="{00000000-0002-0000-0000-000001000000}">
      <formula1>"Lê Đức Anh,Tạ Thị Bích Loan,Nguyễn Ánh Tuyết,Trần Phước Đoàn Nhật,Đỗ Xuân Thắng"</formula1>
    </dataValidation>
    <dataValidation type="list" allowBlank="1" showErrorMessage="1" sqref="F26:F273" xr:uid="{00000000-0002-0000-0000-000002000000}">
      <formula1>"Design,Integration,Testing,Development,Report,Deployment"</formula1>
    </dataValidation>
    <dataValidation type="list" allowBlank="1" showErrorMessage="1" sqref="D26:D273" xr:uid="{00000000-0002-0000-0000-000003000000}">
      <formula1>"Authentication,Employee Management,Attendance Management,Payroll Management,Recuitment Management,Task Management,Project Management,Agent Support,Design System,Working Shift,Application,AI Feature,Authorization &amp; Security"</formula1>
    </dataValidation>
  </dataValidations>
  <hyperlinks>
    <hyperlink ref="D15" r:id="rId1" xr:uid="{00000000-0004-0000-0000-000000000000}"/>
    <hyperlink ref="D16" r:id="rId2" xr:uid="{00000000-0004-0000-0000-000001000000}"/>
    <hyperlink ref="D17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Lê Đức</cp:lastModifiedBy>
  <dcterms:modified xsi:type="dcterms:W3CDTF">2026-07-24T15:59:22Z</dcterms:modified>
</cp:coreProperties>
</file>